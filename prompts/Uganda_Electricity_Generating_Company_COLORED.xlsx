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fcon360_app\prompts\"/>
    </mc:Choice>
  </mc:AlternateContent>
  <bookViews>
    <workbookView xWindow="0" yWindow="0" windowWidth="23040" windowHeight="9048"/>
  </bookViews>
  <sheets>
    <sheet name="unpaid invoices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M64" i="1" l="1"/>
  <c r="J118" i="1"/>
  <c r="E167" i="1"/>
  <c r="J55" i="1"/>
  <c r="J103" i="1"/>
  <c r="J99" i="1"/>
  <c r="J92" i="1"/>
  <c r="J88" i="1"/>
  <c r="M83" i="1"/>
  <c r="M74" i="1"/>
  <c r="J74" i="1"/>
  <c r="O62" i="1"/>
  <c r="O53" i="1"/>
  <c r="M50" i="1"/>
  <c r="O49" i="1"/>
  <c r="O45" i="1"/>
</calcChain>
</file>

<file path=xl/comments1.xml><?xml version="1.0" encoding="utf-8"?>
<comments xmlns="http://schemas.openxmlformats.org/spreadsheetml/2006/main">
  <authors>
    <author>ADMIN</author>
  </authors>
  <commentList>
    <comment ref="I9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Indicated as awaiting but it has an efris reflecting near these bartch  days 30/09/2025</t>
        </r>
      </text>
    </comment>
  </commentList>
</comments>
</file>

<file path=xl/sharedStrings.xml><?xml version="1.0" encoding="utf-8"?>
<sst xmlns="http://schemas.openxmlformats.org/spreadsheetml/2006/main" count="313" uniqueCount="161">
  <si>
    <t>UGANDA ELECTRICITY GENERATION COMPANY LIMITED</t>
  </si>
  <si>
    <t>UEGCL UNPAID INVOICES</t>
  </si>
  <si>
    <t>Garage: Capital Autotune Limited</t>
  </si>
  <si>
    <t>Year:  2023-2025</t>
  </si>
  <si>
    <t>No.</t>
  </si>
  <si>
    <t>Invoice No.</t>
  </si>
  <si>
    <t>LPO No.</t>
  </si>
  <si>
    <t>Invoice Date</t>
  </si>
  <si>
    <t>Amount</t>
  </si>
  <si>
    <t>Reg. No.</t>
  </si>
  <si>
    <t>URA FDN</t>
  </si>
  <si>
    <t>UAR 850Y &amp;UAR 849Y</t>
  </si>
  <si>
    <t>UBG 208 X &amp; UBG 039 V</t>
  </si>
  <si>
    <t>UAY 052Z</t>
  </si>
  <si>
    <t>UBG 039V</t>
  </si>
  <si>
    <t>UBA 190R &amp; UAR 849Y</t>
  </si>
  <si>
    <t>UAY 166Z</t>
  </si>
  <si>
    <t>UAR 853Y</t>
  </si>
  <si>
    <t>UBG 098V</t>
  </si>
  <si>
    <t>UBA 190R</t>
  </si>
  <si>
    <t>UBB 684N</t>
  </si>
  <si>
    <t>UBB 169M</t>
  </si>
  <si>
    <t>UAV 833B</t>
  </si>
  <si>
    <t>UAY 189Z</t>
  </si>
  <si>
    <t>UBD 558J</t>
  </si>
  <si>
    <t>UBG 040V</t>
  </si>
  <si>
    <t>UBG 314W</t>
  </si>
  <si>
    <t>UBH 853X</t>
  </si>
  <si>
    <t>UBL 109K</t>
  </si>
  <si>
    <t>UAR 834Y</t>
  </si>
  <si>
    <t>UAR 833Y</t>
  </si>
  <si>
    <t>External Document No.</t>
  </si>
  <si>
    <t>UBB 687N</t>
  </si>
  <si>
    <t>125108613415</t>
  </si>
  <si>
    <t>UBH 851X</t>
  </si>
  <si>
    <t>125108633557</t>
  </si>
  <si>
    <t>125599106755</t>
  </si>
  <si>
    <t>UBG 208X</t>
  </si>
  <si>
    <t>125108597629</t>
  </si>
  <si>
    <t>125599090906</t>
  </si>
  <si>
    <t>125108572978</t>
  </si>
  <si>
    <t>125685722467</t>
  </si>
  <si>
    <t>UAY 188Z</t>
  </si>
  <si>
    <t>125108650936</t>
  </si>
  <si>
    <t>125632844281</t>
  </si>
  <si>
    <t>125108519851</t>
  </si>
  <si>
    <t>125359812559</t>
  </si>
  <si>
    <t>125225017507</t>
  </si>
  <si>
    <t>125361070561</t>
  </si>
  <si>
    <t>TOTAL</t>
  </si>
  <si>
    <t>125685550963</t>
  </si>
  <si>
    <t>UBJ 221B</t>
  </si>
  <si>
    <t>125360554915</t>
  </si>
  <si>
    <t>125359838398</t>
  </si>
  <si>
    <t>125686018504</t>
  </si>
  <si>
    <t>125599477204</t>
  </si>
  <si>
    <t>UBK 901S</t>
  </si>
  <si>
    <t>TOTALS</t>
  </si>
  <si>
    <t>125685898156</t>
  </si>
  <si>
    <t>125685797734</t>
  </si>
  <si>
    <t>UBK 898S</t>
  </si>
  <si>
    <t>Totals</t>
  </si>
  <si>
    <t>124253094754</t>
  </si>
  <si>
    <t>124584238396</t>
  </si>
  <si>
    <t>1252277127352</t>
  </si>
  <si>
    <t>125599363309</t>
  </si>
  <si>
    <t>1252220997403</t>
  </si>
  <si>
    <t>125598998098</t>
  </si>
  <si>
    <t>1252238925421</t>
  </si>
  <si>
    <t>125360889994</t>
  </si>
  <si>
    <t>1252277139862</t>
  </si>
  <si>
    <t>UBP 275R</t>
  </si>
  <si>
    <t>125360596594</t>
  </si>
  <si>
    <t>1252220879872</t>
  </si>
  <si>
    <t>125685998506</t>
  </si>
  <si>
    <t>1252220901436</t>
  </si>
  <si>
    <t>125359797601</t>
  </si>
  <si>
    <t>1252220986333.</t>
  </si>
  <si>
    <t>UBG 894V</t>
  </si>
  <si>
    <t>1252240158439</t>
  </si>
  <si>
    <t>1252240149907</t>
  </si>
  <si>
    <t>UBG 006K</t>
  </si>
  <si>
    <t>Capital Auto Tune Ltd</t>
  </si>
  <si>
    <t>AMOUNT</t>
  </si>
  <si>
    <t>125989724773</t>
  </si>
  <si>
    <t>Cpaital Auto tune</t>
  </si>
  <si>
    <t>125989749748</t>
  </si>
  <si>
    <t>125361050662</t>
  </si>
  <si>
    <t>UBM 758W</t>
  </si>
  <si>
    <t>125989707997</t>
  </si>
  <si>
    <t>125685608149</t>
  </si>
  <si>
    <t>UGG 040W</t>
  </si>
  <si>
    <t>125989684498</t>
  </si>
  <si>
    <t>125360853112</t>
  </si>
  <si>
    <t>UBP 273R</t>
  </si>
  <si>
    <t>1251829129798</t>
  </si>
  <si>
    <t>125224844689</t>
  </si>
  <si>
    <t>UAR 850Y</t>
  </si>
  <si>
    <t>1251562321882</t>
  </si>
  <si>
    <t>125224740838</t>
  </si>
  <si>
    <t>125686037953</t>
  </si>
  <si>
    <t>125224751413</t>
  </si>
  <si>
    <t>Capital Autotune</t>
  </si>
  <si>
    <t>Capital Autotune FDN</t>
  </si>
  <si>
    <t>UBB 685N</t>
  </si>
  <si>
    <t>125989576237</t>
  </si>
  <si>
    <t>125124149359</t>
  </si>
  <si>
    <t>125938448695</t>
  </si>
  <si>
    <t>125276229586</t>
  </si>
  <si>
    <t>125928867448</t>
  </si>
  <si>
    <t>125276252563</t>
  </si>
  <si>
    <t>125360580511</t>
  </si>
  <si>
    <t>125124184108</t>
  </si>
  <si>
    <t>UAY 833Y</t>
  </si>
  <si>
    <t>125360612623</t>
  </si>
  <si>
    <t>125162586109</t>
  </si>
  <si>
    <t>125360961787</t>
  </si>
  <si>
    <t>125124216769</t>
  </si>
  <si>
    <t>125989642873</t>
  </si>
  <si>
    <t>1231484074372</t>
  </si>
  <si>
    <t>125928891595</t>
  </si>
  <si>
    <t>CAPITAL AUTOTUNE</t>
  </si>
  <si>
    <t>1251001537057</t>
  </si>
  <si>
    <t>125108481241</t>
  </si>
  <si>
    <t>125361019585</t>
  </si>
  <si>
    <t>125276199076</t>
  </si>
  <si>
    <t>125124116815.</t>
  </si>
  <si>
    <t>UBQ 292U</t>
  </si>
  <si>
    <t>125124345622</t>
  </si>
  <si>
    <t>125122955464</t>
  </si>
  <si>
    <t>UAR 847Y</t>
  </si>
  <si>
    <t>125928847756</t>
  </si>
  <si>
    <t>125108491321</t>
  </si>
  <si>
    <t>125108511328</t>
  </si>
  <si>
    <t>UBD 101S</t>
  </si>
  <si>
    <t>125109047827</t>
  </si>
  <si>
    <t>125108708149</t>
  </si>
  <si>
    <t>125835495778</t>
  </si>
  <si>
    <t>125108432893</t>
  </si>
  <si>
    <t>UAR 852 Y</t>
  </si>
  <si>
    <t>125599017484</t>
  </si>
  <si>
    <t>125108668684</t>
  </si>
  <si>
    <t>125938420417</t>
  </si>
  <si>
    <t>125108542738</t>
  </si>
  <si>
    <t>UBB 157M</t>
  </si>
  <si>
    <t>125989786747</t>
  </si>
  <si>
    <t>125108530345</t>
  </si>
  <si>
    <t>UBL 109J</t>
  </si>
  <si>
    <t>125224764085</t>
  </si>
  <si>
    <t>125108564104</t>
  </si>
  <si>
    <t>125109078229</t>
  </si>
  <si>
    <t>125989609186</t>
  </si>
  <si>
    <t>125224830307</t>
  </si>
  <si>
    <t>125224725178</t>
  </si>
  <si>
    <t>UBD 220S</t>
  </si>
  <si>
    <t>UBE 219K</t>
  </si>
  <si>
    <t>UBB 196M</t>
  </si>
  <si>
    <t>UBM 744W</t>
  </si>
  <si>
    <t>UBJ 109J</t>
  </si>
  <si>
    <t>UA 29056</t>
  </si>
  <si>
    <t>UA 29055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</si>
</sst>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vantGarde Bk BT"/>
      <family val="2"/>
    </font>
    <font>
      <sz val="14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indexed="8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rgb="FF000000"/>
      <name val="Cambria"/>
      <family val="1"/>
      <scheme val="major"/>
    </font>
    <font>
      <b/>
      <u val="singleAccounting"/>
      <sz val="11"/>
      <color theme="1"/>
      <name val="Cambria"/>
      <family val="1"/>
      <scheme val="major"/>
    </font>
    <font>
      <sz val="11"/>
      <color theme="0"/>
      <name val="Cambria"/>
      <family val="1"/>
      <scheme val="major"/>
    </font>
    <font>
      <b/>
      <sz val="13"/>
      <color rgb="FF808080"/>
      <name val="Cambria"/>
      <family val="1"/>
    </font>
    <font>
      <sz val="12"/>
      <color rgb="FF323232"/>
      <name val="Cambria"/>
      <family val="1"/>
    </font>
    <font>
      <b/>
      <sz val="14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D2E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B4C7E7"/>
      </patternFill>
    </fill>
    <fill>
      <patternFill patternType="solid">
        <fgColor rgb="FFFFD966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003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43" fontId="1" fillId="0" borderId="0"/>
    <xf numFmtId="0" fontId="2" fillId="0" borderId="0"/>
    <xf numFmtId="41" fontId="1" fillId="0" borderId="0"/>
    <xf numFmtId="43" fontId="2" fillId="0" borderId="0"/>
    <xf numFmtId="41" fontId="2" fillId="0" borderId="0"/>
    <xf numFmtId="43" fontId="2" fillId="0" borderId="0"/>
    <xf numFmtId="43" fontId="2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1" fontId="1" fillId="0" borderId="0"/>
  </cellStyleXfs>
  <cellXfs count="27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3" borderId="1" xfId="0" applyFont="1" applyFill="1" applyBorder="1" applyAlignment="1">
      <alignment horizontal="left"/>
    </xf>
    <xf numFmtId="1" fontId="9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left" wrapText="1"/>
    </xf>
    <xf numFmtId="0" fontId="11" fillId="2" borderId="0" xfId="0" applyFont="1" applyFill="1"/>
    <xf numFmtId="1" fontId="4" fillId="2" borderId="1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left"/>
    </xf>
    <xf numFmtId="4" fontId="13" fillId="0" borderId="0" xfId="0" applyNumberFormat="1" applyFont="1" applyAlignment="1">
      <alignment horizontal="left"/>
    </xf>
    <xf numFmtId="4" fontId="4" fillId="0" borderId="0" xfId="0" applyNumberFormat="1" applyFont="1"/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4" fillId="0" borderId="0" xfId="0" applyFont="1"/>
    <xf numFmtId="0" fontId="15" fillId="0" borderId="0" xfId="2" applyFont="1" applyAlignment="1">
      <alignment horizontal="left"/>
    </xf>
    <xf numFmtId="0" fontId="16" fillId="0" borderId="0" xfId="2" applyFont="1" applyAlignment="1">
      <alignment horizontal="center"/>
    </xf>
    <xf numFmtId="14" fontId="16" fillId="0" borderId="0" xfId="2" applyNumberFormat="1" applyFont="1" applyAlignment="1">
      <alignment horizontal="center"/>
    </xf>
    <xf numFmtId="0" fontId="18" fillId="0" borderId="0" xfId="2" applyFont="1" applyAlignment="1">
      <alignment horizontal="left"/>
    </xf>
    <xf numFmtId="0" fontId="19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4" fontId="19" fillId="3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1" fontId="16" fillId="0" borderId="0" xfId="2" applyNumberFormat="1" applyFont="1" applyAlignment="1">
      <alignment horizontal="center"/>
    </xf>
    <xf numFmtId="1" fontId="15" fillId="0" borderId="0" xfId="2" applyNumberFormat="1" applyFont="1" applyAlignment="1">
      <alignment horizontal="center"/>
    </xf>
    <xf numFmtId="1" fontId="19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49" fontId="0" fillId="0" borderId="3" xfId="0" applyNumberFormat="1" applyBorder="1"/>
    <xf numFmtId="0" fontId="0" fillId="0" borderId="0" xfId="0"/>
    <xf numFmtId="49" fontId="1" fillId="0" borderId="1" xfId="0" applyNumberFormat="1" applyFont="1" applyBorder="1"/>
    <xf numFmtId="0" fontId="4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41" fontId="4" fillId="6" borderId="1" xfId="3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49" fontId="0" fillId="6" borderId="3" xfId="0" applyNumberFormat="1" applyFill="1" applyBorder="1"/>
    <xf numFmtId="41" fontId="0" fillId="6" borderId="2" xfId="3" applyFont="1" applyFill="1" applyBorder="1"/>
    <xf numFmtId="41" fontId="0" fillId="0" borderId="0" xfId="3" applyFont="1" applyAlignment="1">
      <alignment horizontal="center"/>
    </xf>
    <xf numFmtId="41" fontId="4" fillId="0" borderId="0" xfId="3" applyFont="1" applyAlignment="1">
      <alignment horizontal="center"/>
    </xf>
    <xf numFmtId="41" fontId="16" fillId="0" borderId="0" xfId="3" applyFont="1" applyAlignment="1">
      <alignment horizontal="center"/>
    </xf>
    <xf numFmtId="41" fontId="15" fillId="0" borderId="0" xfId="3" applyFont="1" applyAlignment="1">
      <alignment horizontal="center"/>
    </xf>
    <xf numFmtId="41" fontId="19" fillId="0" borderId="1" xfId="3" applyFont="1" applyBorder="1" applyAlignment="1">
      <alignment horizontal="center"/>
    </xf>
    <xf numFmtId="41" fontId="5" fillId="0" borderId="1" xfId="3" applyFont="1" applyBorder="1" applyAlignment="1">
      <alignment horizontal="center"/>
    </xf>
    <xf numFmtId="0" fontId="9" fillId="12" borderId="1" xfId="0" applyFont="1" applyFill="1" applyBorder="1" applyAlignment="1">
      <alignment horizontal="left"/>
    </xf>
    <xf numFmtId="0" fontId="9" fillId="18" borderId="1" xfId="0" applyFont="1" applyFill="1" applyBorder="1" applyAlignment="1">
      <alignment horizontal="left"/>
    </xf>
    <xf numFmtId="41" fontId="4" fillId="0" borderId="1" xfId="3" applyFont="1" applyBorder="1" applyAlignment="1">
      <alignment horizontal="center"/>
    </xf>
    <xf numFmtId="41" fontId="4" fillId="0" borderId="0" xfId="0" applyNumberFormat="1" applyFont="1"/>
    <xf numFmtId="0" fontId="9" fillId="14" borderId="1" xfId="0" applyFont="1" applyFill="1" applyBorder="1" applyAlignment="1">
      <alignment horizontal="left"/>
    </xf>
    <xf numFmtId="164" fontId="11" fillId="0" borderId="0" xfId="0" applyNumberFormat="1" applyFont="1"/>
    <xf numFmtId="41" fontId="4" fillId="0" borderId="0" xfId="3" applyFont="1"/>
    <xf numFmtId="41" fontId="4" fillId="2" borderId="0" xfId="0" applyNumberFormat="1" applyFont="1" applyFill="1"/>
    <xf numFmtId="164" fontId="4" fillId="0" borderId="0" xfId="0" applyNumberFormat="1" applyFont="1"/>
    <xf numFmtId="41" fontId="11" fillId="0" borderId="0" xfId="0" applyNumberFormat="1" applyFont="1"/>
    <xf numFmtId="41" fontId="0" fillId="0" borderId="2" xfId="3" applyFont="1" applyBorder="1"/>
    <xf numFmtId="0" fontId="9" fillId="13" borderId="1" xfId="0" applyFont="1" applyFill="1" applyBorder="1" applyAlignment="1">
      <alignment horizontal="left"/>
    </xf>
    <xf numFmtId="49" fontId="20" fillId="8" borderId="5" xfId="0" applyNumberFormat="1" applyFont="1" applyFill="1" applyBorder="1"/>
    <xf numFmtId="49" fontId="20" fillId="8" borderId="6" xfId="0" applyNumberFormat="1" applyFont="1" applyFill="1" applyBorder="1"/>
    <xf numFmtId="49" fontId="0" fillId="8" borderId="3" xfId="0" applyNumberFormat="1" applyFill="1" applyBorder="1"/>
    <xf numFmtId="41" fontId="0" fillId="8" borderId="2" xfId="3" applyFont="1" applyFill="1" applyBorder="1"/>
    <xf numFmtId="49" fontId="20" fillId="18" borderId="5" xfId="0" applyNumberFormat="1" applyFont="1" applyFill="1" applyBorder="1"/>
    <xf numFmtId="49" fontId="20" fillId="18" borderId="6" xfId="0" applyNumberFormat="1" applyFont="1" applyFill="1" applyBorder="1"/>
    <xf numFmtId="0" fontId="20" fillId="8" borderId="7" xfId="0" applyFont="1" applyFill="1" applyBorder="1"/>
    <xf numFmtId="41" fontId="20" fillId="8" borderId="8" xfId="3" applyFont="1" applyFill="1" applyBorder="1"/>
    <xf numFmtId="41" fontId="0" fillId="0" borderId="0" xfId="3" applyFont="1"/>
    <xf numFmtId="49" fontId="20" fillId="9" borderId="9" xfId="0" applyNumberFormat="1" applyFont="1" applyFill="1" applyBorder="1"/>
    <xf numFmtId="49" fontId="20" fillId="9" borderId="10" xfId="0" applyNumberFormat="1" applyFont="1" applyFill="1" applyBorder="1"/>
    <xf numFmtId="49" fontId="1" fillId="9" borderId="11" xfId="0" applyNumberFormat="1" applyFont="1" applyFill="1" applyBorder="1"/>
    <xf numFmtId="41" fontId="1" fillId="9" borderId="12" xfId="3" applyFill="1" applyBorder="1"/>
    <xf numFmtId="0" fontId="9" fillId="11" borderId="1" xfId="0" applyFont="1" applyFill="1" applyBorder="1" applyAlignment="1">
      <alignment horizontal="left"/>
    </xf>
    <xf numFmtId="0" fontId="20" fillId="9" borderId="13" xfId="0" applyFont="1" applyFill="1" applyBorder="1"/>
    <xf numFmtId="41" fontId="20" fillId="9" borderId="14" xfId="3" applyFont="1" applyFill="1" applyBorder="1"/>
    <xf numFmtId="0" fontId="20" fillId="18" borderId="7" xfId="0" applyFont="1" applyFill="1" applyBorder="1"/>
    <xf numFmtId="41" fontId="20" fillId="18" borderId="8" xfId="3" applyFont="1" applyFill="1" applyBorder="1"/>
    <xf numFmtId="0" fontId="20" fillId="10" borderId="1" xfId="0" applyFont="1" applyFill="1" applyBorder="1"/>
    <xf numFmtId="41" fontId="20" fillId="10" borderId="1" xfId="3" applyFont="1" applyFill="1" applyBorder="1"/>
    <xf numFmtId="0" fontId="9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14" fontId="4" fillId="9" borderId="1" xfId="0" applyNumberFormat="1" applyFont="1" applyFill="1" applyBorder="1" applyAlignment="1">
      <alignment horizontal="center"/>
    </xf>
    <xf numFmtId="41" fontId="4" fillId="9" borderId="1" xfId="3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41" fontId="0" fillId="0" borderId="1" xfId="3" applyFont="1" applyBorder="1"/>
    <xf numFmtId="0" fontId="9" fillId="15" borderId="1" xfId="0" applyFont="1" applyFill="1" applyBorder="1" applyAlignment="1">
      <alignment horizontal="left"/>
    </xf>
    <xf numFmtId="0" fontId="20" fillId="12" borderId="1" xfId="0" applyFont="1" applyFill="1" applyBorder="1"/>
    <xf numFmtId="41" fontId="20" fillId="12" borderId="1" xfId="3" applyFont="1" applyFill="1" applyBorder="1"/>
    <xf numFmtId="0" fontId="9" fillId="17" borderId="1" xfId="0" applyFont="1" applyFill="1" applyBorder="1" applyAlignment="1">
      <alignment horizontal="left"/>
    </xf>
    <xf numFmtId="49" fontId="20" fillId="12" borderId="1" xfId="0" applyNumberFormat="1" applyFont="1" applyFill="1" applyBorder="1"/>
    <xf numFmtId="0" fontId="9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center"/>
    </xf>
    <xf numFmtId="41" fontId="4" fillId="8" borderId="1" xfId="3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49" fontId="20" fillId="16" borderId="6" xfId="0" applyNumberFormat="1" applyFont="1" applyFill="1" applyBorder="1"/>
    <xf numFmtId="41" fontId="0" fillId="16" borderId="2" xfId="3" applyFont="1" applyFill="1" applyBorder="1"/>
    <xf numFmtId="41" fontId="20" fillId="16" borderId="8" xfId="3" applyFont="1" applyFill="1" applyBorder="1"/>
    <xf numFmtId="0" fontId="9" fillId="7" borderId="1" xfId="0" applyFont="1" applyFill="1" applyBorder="1" applyAlignment="1">
      <alignment horizontal="left"/>
    </xf>
    <xf numFmtId="49" fontId="20" fillId="17" borderId="5" xfId="0" applyNumberFormat="1" applyFont="1" applyFill="1" applyBorder="1"/>
    <xf numFmtId="49" fontId="20" fillId="17" borderId="6" xfId="0" applyNumberFormat="1" applyFont="1" applyFill="1" applyBorder="1"/>
    <xf numFmtId="0" fontId="9" fillId="10" borderId="1" xfId="0" applyFont="1" applyFill="1" applyBorder="1" applyAlignment="1">
      <alignment horizontal="left"/>
    </xf>
    <xf numFmtId="41" fontId="0" fillId="17" borderId="2" xfId="3" applyFont="1" applyFill="1" applyBorder="1"/>
    <xf numFmtId="0" fontId="9" fillId="16" borderId="1" xfId="0" applyFont="1" applyFill="1" applyBorder="1" applyAlignment="1">
      <alignment horizontal="left"/>
    </xf>
    <xf numFmtId="41" fontId="20" fillId="17" borderId="8" xfId="3" applyFont="1" applyFill="1" applyBorder="1"/>
    <xf numFmtId="49" fontId="20" fillId="19" borderId="5" xfId="0" applyNumberFormat="1" applyFont="1" applyFill="1" applyBorder="1"/>
    <xf numFmtId="49" fontId="20" fillId="19" borderId="6" xfId="0" applyNumberFormat="1" applyFont="1" applyFill="1" applyBorder="1"/>
    <xf numFmtId="0" fontId="20" fillId="19" borderId="7" xfId="0" applyFont="1" applyFill="1" applyBorder="1"/>
    <xf numFmtId="41" fontId="20" fillId="19" borderId="8" xfId="3" applyFont="1" applyFill="1" applyBorder="1"/>
    <xf numFmtId="41" fontId="10" fillId="0" borderId="0" xfId="3" applyFont="1" applyAlignment="1">
      <alignment horizontal="center"/>
    </xf>
    <xf numFmtId="0" fontId="14" fillId="0" borderId="0" xfId="2" applyFont="1" applyAlignment="1">
      <alignment horizontal="center" wrapText="1"/>
    </xf>
    <xf numFmtId="0" fontId="3" fillId="0" borderId="0" xfId="0" applyFont="1"/>
    <xf numFmtId="0" fontId="17" fillId="0" borderId="0" xfId="2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1" fontId="0" fillId="0" borderId="0" xfId="3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6" borderId="1" xfId="0" applyFont="1" applyFill="1" applyBorder="1" applyAlignment="1">
      <alignment horizontal="left"/>
    </xf>
    <xf numFmtId="49" fontId="20" fillId="6" borderId="4" xfId="0" applyNumberFormat="1" applyFont="1" applyFill="1" applyBorder="1"/>
    <xf numFmtId="49" fontId="0" fillId="6" borderId="5" xfId="0" applyNumberFormat="1" applyFill="1" applyBorder="1"/>
    <xf numFmtId="41" fontId="0" fillId="6" borderId="6" xfId="3" applyFont="1" applyFill="1" applyBorder="1"/>
    <xf numFmtId="0" fontId="20" fillId="6" borderId="7" xfId="0" applyFont="1" applyFill="1" applyBorder="1"/>
    <xf numFmtId="41" fontId="20" fillId="6" borderId="8" xfId="3" applyFont="1" applyFill="1" applyBorder="1"/>
    <xf numFmtId="0" fontId="4" fillId="20" borderId="1" xfId="0" applyFont="1" applyFill="1" applyBorder="1" applyAlignment="1">
      <alignment horizontal="center"/>
    </xf>
    <xf numFmtId="14" fontId="4" fillId="20" borderId="1" xfId="0" applyNumberFormat="1" applyFont="1" applyFill="1" applyBorder="1" applyAlignment="1">
      <alignment horizontal="center"/>
    </xf>
    <xf numFmtId="41" fontId="4" fillId="20" borderId="1" xfId="3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14" fontId="4" fillId="21" borderId="1" xfId="0" applyNumberFormat="1" applyFont="1" applyFill="1" applyBorder="1" applyAlignment="1">
      <alignment horizontal="center"/>
    </xf>
    <xf numFmtId="41" fontId="4" fillId="21" borderId="1" xfId="3" applyFont="1" applyFill="1" applyBorder="1" applyAlignment="1">
      <alignment horizontal="center"/>
    </xf>
    <xf numFmtId="1" fontId="4" fillId="21" borderId="1" xfId="0" applyNumberFormat="1" applyFont="1" applyFill="1" applyBorder="1" applyAlignment="1">
      <alignment horizontal="center" vertical="center"/>
    </xf>
    <xf numFmtId="49" fontId="0" fillId="21" borderId="3" xfId="0" applyNumberFormat="1" applyFill="1" applyBorder="1"/>
    <xf numFmtId="41" fontId="0" fillId="21" borderId="2" xfId="3" applyFont="1" applyFill="1" applyBorder="1"/>
    <xf numFmtId="1" fontId="5" fillId="21" borderId="1" xfId="0" applyNumberFormat="1" applyFont="1" applyFill="1" applyBorder="1" applyAlignment="1">
      <alignment horizontal="center"/>
    </xf>
    <xf numFmtId="1" fontId="9" fillId="21" borderId="1" xfId="0" applyNumberFormat="1" applyFont="1" applyFill="1" applyBorder="1" applyAlignment="1">
      <alignment horizontal="center"/>
    </xf>
    <xf numFmtId="14" fontId="5" fillId="21" borderId="1" xfId="0" applyNumberFormat="1" applyFont="1" applyFill="1" applyBorder="1" applyAlignment="1">
      <alignment horizontal="center"/>
    </xf>
    <xf numFmtId="41" fontId="5" fillId="21" borderId="1" xfId="3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" fontId="9" fillId="21" borderId="1" xfId="1" applyNumberFormat="1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 wrapText="1"/>
    </xf>
    <xf numFmtId="1" fontId="4" fillId="21" borderId="1" xfId="0" applyNumberFormat="1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41" fontId="4" fillId="5" borderId="1" xfId="3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49" fontId="1" fillId="5" borderId="11" xfId="0" applyNumberFormat="1" applyFont="1" applyFill="1" applyBorder="1"/>
    <xf numFmtId="41" fontId="0" fillId="5" borderId="12" xfId="3" applyFont="1" applyFill="1" applyBorder="1"/>
    <xf numFmtId="0" fontId="20" fillId="5" borderId="13" xfId="0" applyFont="1" applyFill="1" applyBorder="1"/>
    <xf numFmtId="41" fontId="20" fillId="5" borderId="14" xfId="3" applyFont="1" applyFill="1" applyBorder="1"/>
    <xf numFmtId="41" fontId="0" fillId="21" borderId="15" xfId="3" applyFont="1" applyFill="1" applyBorder="1"/>
    <xf numFmtId="41" fontId="0" fillId="21" borderId="16" xfId="3" applyFont="1" applyFill="1" applyBorder="1"/>
    <xf numFmtId="41" fontId="0" fillId="21" borderId="6" xfId="3" applyFont="1" applyFill="1" applyBorder="1"/>
    <xf numFmtId="41" fontId="0" fillId="21" borderId="17" xfId="3" applyFont="1" applyFill="1" applyBorder="1"/>
    <xf numFmtId="41" fontId="0" fillId="21" borderId="8" xfId="3" applyFont="1" applyFill="1" applyBorder="1"/>
    <xf numFmtId="0" fontId="20" fillId="5" borderId="9" xfId="0" applyFont="1" applyFill="1" applyBorder="1"/>
    <xf numFmtId="43" fontId="20" fillId="5" borderId="10" xfId="1" applyFont="1" applyFill="1" applyBorder="1"/>
    <xf numFmtId="49" fontId="0" fillId="23" borderId="3" xfId="0" applyNumberFormat="1" applyFill="1" applyBorder="1"/>
    <xf numFmtId="41" fontId="0" fillId="23" borderId="2" xfId="3" applyFont="1" applyFill="1" applyBorder="1"/>
    <xf numFmtId="0" fontId="4" fillId="23" borderId="1" xfId="0" applyFont="1" applyFill="1" applyBorder="1" applyAlignment="1">
      <alignment horizontal="center"/>
    </xf>
    <xf numFmtId="14" fontId="4" fillId="23" borderId="1" xfId="0" applyNumberFormat="1" applyFont="1" applyFill="1" applyBorder="1" applyAlignment="1">
      <alignment horizontal="center"/>
    </xf>
    <xf numFmtId="41" fontId="4" fillId="23" borderId="1" xfId="3" applyFont="1" applyFill="1" applyBorder="1" applyAlignment="1">
      <alignment horizontal="center"/>
    </xf>
    <xf numFmtId="1" fontId="4" fillId="23" borderId="1" xfId="0" applyNumberFormat="1" applyFont="1" applyFill="1" applyBorder="1" applyAlignment="1">
      <alignment horizontal="center"/>
    </xf>
    <xf numFmtId="0" fontId="20" fillId="23" borderId="7" xfId="0" applyFont="1" applyFill="1" applyBorder="1"/>
    <xf numFmtId="41" fontId="20" fillId="23" borderId="8" xfId="3" applyFont="1" applyFill="1" applyBorder="1"/>
    <xf numFmtId="49" fontId="20" fillId="23" borderId="5" xfId="0" applyNumberFormat="1" applyFont="1" applyFill="1" applyBorder="1"/>
    <xf numFmtId="49" fontId="20" fillId="23" borderId="6" xfId="0" applyNumberFormat="1" applyFont="1" applyFill="1" applyBorder="1"/>
    <xf numFmtId="1" fontId="4" fillId="20" borderId="1" xfId="0" applyNumberFormat="1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14" fontId="4" fillId="22" borderId="1" xfId="0" applyNumberFormat="1" applyFont="1" applyFill="1" applyBorder="1" applyAlignment="1">
      <alignment horizontal="center"/>
    </xf>
    <xf numFmtId="41" fontId="4" fillId="22" borderId="1" xfId="3" applyFont="1" applyFill="1" applyBorder="1" applyAlignment="1">
      <alignment horizontal="center"/>
    </xf>
    <xf numFmtId="1" fontId="4" fillId="22" borderId="1" xfId="0" applyNumberFormat="1" applyFont="1" applyFill="1" applyBorder="1" applyAlignment="1">
      <alignment horizontal="center"/>
    </xf>
    <xf numFmtId="49" fontId="1" fillId="22" borderId="1" xfId="0" applyNumberFormat="1" applyFont="1" applyFill="1" applyBorder="1"/>
    <xf numFmtId="41" fontId="0" fillId="22" borderId="1" xfId="3" applyFont="1" applyFill="1" applyBorder="1"/>
    <xf numFmtId="0" fontId="8" fillId="22" borderId="1" xfId="0" applyFont="1" applyFill="1" applyBorder="1" applyAlignment="1">
      <alignment horizontal="center"/>
    </xf>
    <xf numFmtId="1" fontId="5" fillId="22" borderId="1" xfId="0" applyNumberFormat="1" applyFont="1" applyFill="1" applyBorder="1" applyAlignment="1">
      <alignment horizontal="center"/>
    </xf>
    <xf numFmtId="1" fontId="9" fillId="22" borderId="1" xfId="0" applyNumberFormat="1" applyFont="1" applyFill="1" applyBorder="1" applyAlignment="1">
      <alignment horizontal="center"/>
    </xf>
    <xf numFmtId="14" fontId="5" fillId="22" borderId="1" xfId="0" applyNumberFormat="1" applyFont="1" applyFill="1" applyBorder="1" applyAlignment="1">
      <alignment horizontal="center"/>
    </xf>
    <xf numFmtId="41" fontId="5" fillId="22" borderId="1" xfId="3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1" fontId="9" fillId="22" borderId="1" xfId="1" applyNumberFormat="1" applyFont="1" applyFill="1" applyBorder="1" applyAlignment="1">
      <alignment horizontal="center"/>
    </xf>
    <xf numFmtId="49" fontId="20" fillId="20" borderId="5" xfId="0" applyNumberFormat="1" applyFont="1" applyFill="1" applyBorder="1"/>
    <xf numFmtId="49" fontId="20" fillId="20" borderId="6" xfId="0" applyNumberFormat="1" applyFont="1" applyFill="1" applyBorder="1"/>
    <xf numFmtId="49" fontId="0" fillId="20" borderId="3" xfId="0" applyNumberFormat="1" applyFill="1" applyBorder="1"/>
    <xf numFmtId="0" fontId="0" fillId="20" borderId="2" xfId="0" applyFill="1" applyBorder="1"/>
    <xf numFmtId="0" fontId="20" fillId="20" borderId="7" xfId="0" applyFont="1" applyFill="1" applyBorder="1"/>
    <xf numFmtId="0" fontId="20" fillId="20" borderId="8" xfId="0" applyFont="1" applyFill="1" applyBorder="1"/>
    <xf numFmtId="49" fontId="20" fillId="6" borderId="0" xfId="0" applyNumberFormat="1" applyFont="1" applyFill="1" applyBorder="1"/>
    <xf numFmtId="41" fontId="0" fillId="6" borderId="16" xfId="3" applyFont="1" applyFill="1" applyBorder="1"/>
    <xf numFmtId="41" fontId="0" fillId="6" borderId="15" xfId="3" applyFont="1" applyFill="1" applyBorder="1"/>
    <xf numFmtId="41" fontId="20" fillId="6" borderId="17" xfId="3" applyFont="1" applyFill="1" applyBorder="1"/>
    <xf numFmtId="49" fontId="20" fillId="20" borderId="16" xfId="0" applyNumberFormat="1" applyFont="1" applyFill="1" applyBorder="1"/>
    <xf numFmtId="0" fontId="0" fillId="20" borderId="15" xfId="0" applyFill="1" applyBorder="1"/>
    <xf numFmtId="0" fontId="20" fillId="20" borderId="17" xfId="0" applyFont="1" applyFill="1" applyBorder="1"/>
    <xf numFmtId="49" fontId="20" fillId="8" borderId="0" xfId="0" applyNumberFormat="1" applyFont="1" applyFill="1" applyBorder="1"/>
    <xf numFmtId="41" fontId="0" fillId="8" borderId="16" xfId="3" applyFont="1" applyFill="1" applyBorder="1"/>
    <xf numFmtId="41" fontId="20" fillId="8" borderId="17" xfId="3" applyFont="1" applyFill="1" applyBorder="1"/>
    <xf numFmtId="49" fontId="20" fillId="9" borderId="16" xfId="0" applyNumberFormat="1" applyFont="1" applyFill="1" applyBorder="1"/>
    <xf numFmtId="41" fontId="1" fillId="9" borderId="15" xfId="3" applyFill="1" applyBorder="1"/>
    <xf numFmtId="41" fontId="20" fillId="9" borderId="17" xfId="3" applyFont="1" applyFill="1" applyBorder="1"/>
    <xf numFmtId="41" fontId="20" fillId="10" borderId="0" xfId="3" applyFont="1" applyFill="1" applyBorder="1"/>
    <xf numFmtId="41" fontId="0" fillId="0" borderId="5" xfId="3" applyFont="1" applyBorder="1"/>
    <xf numFmtId="41" fontId="0" fillId="0" borderId="3" xfId="3" applyFont="1" applyBorder="1"/>
    <xf numFmtId="41" fontId="0" fillId="10" borderId="3" xfId="3" applyFont="1" applyFill="1" applyBorder="1"/>
    <xf numFmtId="41" fontId="20" fillId="10" borderId="7" xfId="3" applyFont="1" applyFill="1" applyBorder="1"/>
    <xf numFmtId="41" fontId="0" fillId="22" borderId="0" xfId="3" applyFont="1" applyFill="1" applyBorder="1"/>
    <xf numFmtId="49" fontId="20" fillId="18" borderId="0" xfId="0" applyNumberFormat="1" applyFont="1" applyFill="1" applyBorder="1"/>
    <xf numFmtId="41" fontId="0" fillId="21" borderId="0" xfId="3" applyFont="1" applyFill="1" applyBorder="1"/>
    <xf numFmtId="41" fontId="20" fillId="18" borderId="0" xfId="3" applyFont="1" applyFill="1" applyBorder="1"/>
    <xf numFmtId="0" fontId="4" fillId="24" borderId="1" xfId="0" applyFont="1" applyFill="1" applyBorder="1" applyAlignment="1">
      <alignment horizontal="center"/>
    </xf>
    <xf numFmtId="14" fontId="4" fillId="24" borderId="1" xfId="0" applyNumberFormat="1" applyFont="1" applyFill="1" applyBorder="1" applyAlignment="1">
      <alignment horizontal="center"/>
    </xf>
    <xf numFmtId="41" fontId="4" fillId="24" borderId="1" xfId="3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41" fontId="4" fillId="0" borderId="1" xfId="3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center"/>
    </xf>
    <xf numFmtId="1" fontId="4" fillId="24" borderId="1" xfId="0" applyNumberFormat="1" applyFont="1" applyFill="1" applyBorder="1" applyAlignment="1">
      <alignment horizontal="center"/>
    </xf>
    <xf numFmtId="49" fontId="0" fillId="24" borderId="3" xfId="0" applyNumberFormat="1" applyFill="1" applyBorder="1"/>
    <xf numFmtId="41" fontId="0" fillId="24" borderId="2" xfId="3" applyFont="1" applyFill="1" applyBorder="1"/>
    <xf numFmtId="0" fontId="20" fillId="24" borderId="7" xfId="0" applyFont="1" applyFill="1" applyBorder="1"/>
    <xf numFmtId="41" fontId="20" fillId="24" borderId="8" xfId="3" applyFont="1" applyFill="1" applyBorder="1"/>
    <xf numFmtId="0" fontId="4" fillId="25" borderId="1" xfId="0" applyFont="1" applyFill="1" applyBorder="1" applyAlignment="1">
      <alignment horizontal="center"/>
    </xf>
    <xf numFmtId="14" fontId="4" fillId="25" borderId="1" xfId="0" applyNumberFormat="1" applyFont="1" applyFill="1" applyBorder="1" applyAlignment="1">
      <alignment horizontal="center"/>
    </xf>
    <xf numFmtId="41" fontId="4" fillId="25" borderId="1" xfId="3" applyFont="1" applyFill="1" applyBorder="1" applyAlignment="1">
      <alignment horizontal="center"/>
    </xf>
    <xf numFmtId="1" fontId="4" fillId="25" borderId="1" xfId="0" applyNumberFormat="1" applyFont="1" applyFill="1" applyBorder="1" applyAlignment="1">
      <alignment horizontal="center"/>
    </xf>
    <xf numFmtId="49" fontId="1" fillId="25" borderId="1" xfId="0" applyNumberFormat="1" applyFont="1" applyFill="1" applyBorder="1"/>
    <xf numFmtId="41" fontId="0" fillId="25" borderId="1" xfId="3" applyFont="1" applyFill="1" applyBorder="1"/>
    <xf numFmtId="0" fontId="20" fillId="25" borderId="1" xfId="0" applyFont="1" applyFill="1" applyBorder="1"/>
    <xf numFmtId="41" fontId="20" fillId="25" borderId="1" xfId="3" applyFont="1" applyFill="1" applyBorder="1"/>
    <xf numFmtId="49" fontId="20" fillId="25" borderId="1" xfId="0" applyNumberFormat="1" applyFont="1" applyFill="1" applyBorder="1"/>
    <xf numFmtId="49" fontId="1" fillId="26" borderId="1" xfId="0" applyNumberFormat="1" applyFont="1" applyFill="1" applyBorder="1"/>
    <xf numFmtId="41" fontId="0" fillId="26" borderId="1" xfId="3" applyFont="1" applyFill="1" applyBorder="1"/>
    <xf numFmtId="0" fontId="4" fillId="26" borderId="1" xfId="0" applyFont="1" applyFill="1" applyBorder="1" applyAlignment="1">
      <alignment horizontal="center"/>
    </xf>
    <xf numFmtId="14" fontId="4" fillId="26" borderId="1" xfId="0" applyNumberFormat="1" applyFont="1" applyFill="1" applyBorder="1" applyAlignment="1">
      <alignment horizontal="center"/>
    </xf>
    <xf numFmtId="41" fontId="4" fillId="26" borderId="1" xfId="3" applyFont="1" applyFill="1" applyBorder="1" applyAlignment="1">
      <alignment horizontal="center"/>
    </xf>
    <xf numFmtId="1" fontId="4" fillId="26" borderId="1" xfId="0" applyNumberFormat="1" applyFont="1" applyFill="1" applyBorder="1" applyAlignment="1">
      <alignment horizontal="center"/>
    </xf>
    <xf numFmtId="49" fontId="20" fillId="26" borderId="1" xfId="0" applyNumberFormat="1" applyFont="1" applyFill="1" applyBorder="1"/>
    <xf numFmtId="41" fontId="20" fillId="26" borderId="1" xfId="3" applyFont="1" applyFill="1" applyBorder="1"/>
    <xf numFmtId="0" fontId="20" fillId="26" borderId="1" xfId="0" applyFont="1" applyFill="1" applyBorder="1"/>
    <xf numFmtId="49" fontId="20" fillId="4" borderId="5" xfId="0" applyNumberFormat="1" applyFont="1" applyFill="1" applyBorder="1"/>
    <xf numFmtId="49" fontId="20" fillId="4" borderId="6" xfId="0" applyNumberFormat="1" applyFont="1" applyFill="1" applyBorder="1"/>
    <xf numFmtId="49" fontId="0" fillId="4" borderId="3" xfId="0" applyNumberFormat="1" applyFill="1" applyBorder="1"/>
    <xf numFmtId="41" fontId="0" fillId="4" borderId="2" xfId="3" applyFont="1" applyFill="1" applyBorder="1"/>
    <xf numFmtId="0" fontId="20" fillId="4" borderId="7" xfId="0" applyFont="1" applyFill="1" applyBorder="1"/>
    <xf numFmtId="41" fontId="20" fillId="4" borderId="8" xfId="3" applyFont="1" applyFill="1" applyBorder="1"/>
    <xf numFmtId="14" fontId="4" fillId="4" borderId="1" xfId="0" applyNumberFormat="1" applyFont="1" applyFill="1" applyBorder="1" applyAlignment="1">
      <alignment horizontal="center"/>
    </xf>
    <xf numFmtId="41" fontId="4" fillId="4" borderId="1" xfId="3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4" fillId="27" borderId="1" xfId="0" applyFont="1" applyFill="1" applyBorder="1" applyAlignment="1">
      <alignment horizontal="center"/>
    </xf>
    <xf numFmtId="14" fontId="4" fillId="27" borderId="1" xfId="0" applyNumberFormat="1" applyFont="1" applyFill="1" applyBorder="1" applyAlignment="1">
      <alignment horizontal="center"/>
    </xf>
    <xf numFmtId="41" fontId="4" fillId="27" borderId="1" xfId="3" applyFont="1" applyFill="1" applyBorder="1" applyAlignment="1">
      <alignment horizontal="center"/>
    </xf>
    <xf numFmtId="1" fontId="4" fillId="27" borderId="1" xfId="0" applyNumberFormat="1" applyFont="1" applyFill="1" applyBorder="1" applyAlignment="1">
      <alignment horizontal="center"/>
    </xf>
    <xf numFmtId="49" fontId="1" fillId="27" borderId="1" xfId="0" applyNumberFormat="1" applyFont="1" applyFill="1" applyBorder="1"/>
    <xf numFmtId="41" fontId="0" fillId="27" borderId="1" xfId="3" applyFont="1" applyFill="1" applyBorder="1"/>
    <xf numFmtId="0" fontId="20" fillId="27" borderId="1" xfId="0" applyFont="1" applyFill="1" applyBorder="1"/>
    <xf numFmtId="41" fontId="20" fillId="27" borderId="1" xfId="3" applyFont="1" applyFill="1" applyBorder="1"/>
    <xf numFmtId="1" fontId="4" fillId="27" borderId="1" xfId="0" applyNumberFormat="1" applyFont="1" applyFill="1" applyBorder="1" applyAlignment="1">
      <alignment horizontal="center" vertical="center"/>
    </xf>
    <xf numFmtId="0" fontId="0" fillId="27" borderId="1" xfId="0" applyFill="1" applyBorder="1"/>
    <xf numFmtId="49" fontId="0" fillId="0" borderId="1" xfId="0" applyNumberFormat="1" applyFont="1" applyBorder="1"/>
  </cellXfs>
  <cellStyles count="13">
    <cellStyle name="Comma" xfId="1" builtinId="3"/>
    <cellStyle name="Comma [0]" xfId="3" builtinId="6"/>
    <cellStyle name="Comma [0] 2" xfId="5"/>
    <cellStyle name="Comma [0] 2 2" xfId="12"/>
    <cellStyle name="Comma [0] 3" xfId="8"/>
    <cellStyle name="Comma 2" xfId="4"/>
    <cellStyle name="Comma 3" xfId="6"/>
    <cellStyle name="Comma 4" xfId="7"/>
    <cellStyle name="Comma 5" xfId="9"/>
    <cellStyle name="Comma 6" xfId="10"/>
    <cellStyle name="Comma 7" xfId="11"/>
    <cellStyle name="Normal" xfId="0" builtinId="0"/>
    <cellStyle name="Normal 2" xfId="2"/>
  </cellStyles>
  <dxfs count="80"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000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0000"/>
        </patternFill>
      </fill>
      <border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rgb="FFFF0000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border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rgb="FFFF0000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3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249977111117893"/>
        </patternFill>
      </fill>
      <border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-0.249977111117893"/>
        </patternFill>
      </fill>
      <border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-0.249977111117893"/>
        </patternFill>
      </fill>
    </dxf>
    <dxf>
      <fill>
        <patternFill patternType="solid">
          <fgColor indexed="64"/>
          <bgColor theme="5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-0.249977111117893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-0.249977111117893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-0.249977111117893"/>
        </patternFill>
      </fill>
      <border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9" tint="-0.249977111117893"/>
        </patternFill>
      </fill>
      <border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499984740745262"/>
        </patternFill>
      </fill>
    </dxf>
    <dxf>
      <fill>
        <patternFill patternType="solid">
          <fgColor indexed="64"/>
          <bgColor theme="2" tint="-0.49998474074526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49998474074526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/>
        <top/>
        <bottom/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/>
        <top/>
        <bottom/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00B0F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 patternType="solid">
          <fgColor indexed="64"/>
          <bgColor rgb="FF00B0F0"/>
        </patternFill>
      </fill>
      <border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rgb="FF00B0F0"/>
        </patternFill>
      </fill>
      <border outline="0">
        <left/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N37:O45" totalsRowCount="1" headerRowDxfId="79" dataDxfId="77" totalsRowDxfId="41" headerRowBorderDxfId="78" tableBorderDxfId="76" totalsRowBorderDxfId="75">
  <autoFilter ref="N37:O44"/>
  <tableColumns count="2">
    <tableColumn id="5" name="External Document No." totalsRowLabel="TOTAL" dataDxfId="74" totalsRowDxfId="43"/>
    <tableColumn id="10" name="Amount" totalsRowFunction="sum" dataDxfId="73" totalsRowDxfId="42" dataCellStyle="Comma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N47:O49" totalsRowShown="0" headerRowDxfId="14" dataDxfId="13" headerRowBorderDxfId="72" tableBorderDxfId="71" totalsRowBorderDxfId="70">
  <autoFilter ref="N47:O49"/>
  <tableColumns count="2">
    <tableColumn id="5" name="External Document No." dataDxfId="16"/>
    <tableColumn id="10" name="Amount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N51:O53" totalsRowShown="0" headerRowDxfId="69" dataDxfId="67" headerRowBorderDxfId="68" tableBorderDxfId="66" totalsRowBorderDxfId="65">
  <autoFilter ref="N51:O53"/>
  <tableColumns count="2">
    <tableColumn id="5" name="External Document No." dataDxfId="64"/>
    <tableColumn id="10" name="Amount" dataDxfId="63" dataCellStyle="Comma [0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L38:M50" totalsRowCount="1" headerRowDxfId="17" totalsRowDxfId="18" headerRowBorderDxfId="62" tableBorderDxfId="61" totalsRowBorderDxfId="60">
  <autoFilter ref="L38:M49"/>
  <tableColumns count="2">
    <tableColumn id="5" name="External Document No." totalsRowLabel="TOTALS" dataDxfId="59" totalsRowDxfId="20"/>
    <tableColumn id="10" name="Amount" totalsRowFunction="sum" dataDxfId="58" totalsRowDxfId="19" dataCellStyle="Comma [0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17" displayName="Table17" ref="I90:J92" totalsRowCount="1" headerRowDxfId="2" dataDxfId="0" totalsRowDxfId="1" headerRowBorderDxfId="8" tableBorderDxfId="9" totalsRowBorderDxfId="7">
  <autoFilter ref="I90:J91"/>
  <tableColumns count="2">
    <tableColumn id="5" name="External Document No." totalsRowLabel="TOTAL" dataDxfId="6" totalsRowDxfId="5"/>
    <tableColumn id="10" name="Amount" totalsRowFunction="sum" dataDxfId="4" totalsRowDxfId="3" dataCellStyle="Comma [0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18" displayName="Table18" ref="I94:J99" totalsRowCount="1" headerRowDxfId="57" dataDxfId="55" totalsRowDxfId="10" headerRowBorderDxfId="56" tableBorderDxfId="54" totalsRowBorderDxfId="53">
  <autoFilter ref="I94:J98"/>
  <tableColumns count="2">
    <tableColumn id="5" name="External Document No." totalsRowLabel="TOTAL" dataDxfId="52" totalsRowDxfId="12"/>
    <tableColumn id="10" name="Amount" totalsRowFunction="sum" dataDxfId="51" totalsRowDxfId="11" dataCellStyle="Comma [0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19" displayName="Table19" ref="I101:J103" totalsRowShown="0" headerRowDxfId="50" dataDxfId="48" headerRowBorderDxfId="49" tableBorderDxfId="47" totalsRowBorderDxfId="46">
  <autoFilter ref="I101:J103"/>
  <tableColumns count="2">
    <tableColumn id="5" name="External Document No." dataDxfId="45"/>
    <tableColumn id="10" name="Amount" dataDxfId="44" dataCellStyle="Comma [0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1610" displayName="Table1610" ref="I106:J118" totalsRowCount="1" headerRowDxfId="40" dataDxfId="39" totalsRowDxfId="38" headerRowBorderDxfId="36" tableBorderDxfId="37" totalsRowBorderDxfId="35">
  <autoFilter ref="I106:J117"/>
  <tableColumns count="2">
    <tableColumn id="5" name="External Document No." totalsRowLabel="TOTAL" dataDxfId="33" totalsRowDxfId="34"/>
    <tableColumn id="10" name="Amount" totalsRowFunction="sum" dataDxfId="31" totalsRowDxfId="32" dataCellStyle="Comma [0]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161011" displayName="Table161011" ref="L52:M64" totalsRowCount="1" headerRowDxfId="22" totalsRowDxfId="21" headerRowBorderDxfId="26" tableBorderDxfId="27" totalsRowBorderDxfId="25" headerRowCellStyle="Comma [0]" totalsRowCellStyle="Comma [0]">
  <autoFilter ref="L52:M63"/>
  <tableColumns count="2">
    <tableColumn id="5" name="External Document No." totalsRowLabel="TOTAL" dataDxfId="24" totalsRowDxfId="29" dataCellStyle="Comma [0]"/>
    <tableColumn id="10" name="Amount" totalsRowFunction="sum" dataDxfId="23" totalsRowDxfId="28" dataCellStyle="Comm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comments" Target="../comments1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7"/>
  <sheetViews>
    <sheetView tabSelected="1" topLeftCell="A64" zoomScaleNormal="100" workbookViewId="0">
      <selection activeCell="L98" sqref="L98"/>
    </sheetView>
  </sheetViews>
  <sheetFormatPr defaultRowHeight="14.4"/>
  <cols>
    <col min="1" max="1" width="4.44140625" style="3" customWidth="1"/>
    <col min="2" max="2" width="12.44140625" style="2" customWidth="1"/>
    <col min="3" max="3" width="11.6640625" style="2" customWidth="1"/>
    <col min="4" max="4" width="16" style="12" customWidth="1"/>
    <col min="5" max="5" width="15.6640625" style="61" customWidth="1"/>
    <col min="6" max="6" width="18.109375" style="2" customWidth="1"/>
    <col min="7" max="7" width="19.6640625" style="51" customWidth="1"/>
    <col min="8" max="8" width="5" style="33" customWidth="1"/>
    <col min="9" max="9" width="22.88671875" style="33" bestFit="1" customWidth="1"/>
    <col min="10" max="10" width="12.21875" style="33" customWidth="1"/>
    <col min="11" max="11" width="1.21875" style="33" customWidth="1"/>
    <col min="12" max="12" width="22.88671875" style="53" bestFit="1" customWidth="1"/>
    <col min="13" max="13" width="11.44140625" style="53" bestFit="1" customWidth="1"/>
    <col min="14" max="14" width="22.88671875" bestFit="1" customWidth="1"/>
    <col min="15" max="15" width="10.44140625" bestFit="1" customWidth="1"/>
  </cols>
  <sheetData>
    <row r="1" spans="1:11">
      <c r="A1" s="7"/>
      <c r="B1" s="17"/>
      <c r="C1" s="17"/>
      <c r="D1" s="14"/>
      <c r="E1" s="62"/>
      <c r="F1" s="17"/>
      <c r="G1" s="42"/>
    </row>
    <row r="2" spans="1:11">
      <c r="A2" s="7"/>
      <c r="B2" s="17"/>
      <c r="C2" s="17"/>
      <c r="D2" s="14"/>
      <c r="E2" s="62"/>
      <c r="F2" s="17"/>
      <c r="G2" s="42"/>
    </row>
    <row r="3" spans="1:11" s="1" customFormat="1" ht="18" customHeight="1">
      <c r="A3" s="130" t="s">
        <v>0</v>
      </c>
      <c r="B3" s="131"/>
      <c r="C3" s="131"/>
      <c r="D3" s="131"/>
      <c r="E3" s="131"/>
      <c r="F3" s="131"/>
      <c r="G3" s="131"/>
      <c r="H3" s="21"/>
      <c r="I3" s="21"/>
      <c r="J3" s="21"/>
      <c r="K3" s="21"/>
    </row>
    <row r="4" spans="1:11">
      <c r="A4" s="34"/>
      <c r="B4" s="35"/>
      <c r="C4" s="35"/>
      <c r="D4" s="36"/>
      <c r="E4" s="63"/>
      <c r="F4" s="35"/>
      <c r="G4" s="43"/>
    </row>
    <row r="5" spans="1:11" ht="17.399999999999999" customHeight="1">
      <c r="A5" s="132" t="s">
        <v>1</v>
      </c>
      <c r="B5" s="133"/>
      <c r="C5" s="133"/>
      <c r="D5" s="134"/>
      <c r="E5" s="135"/>
      <c r="F5" s="133"/>
      <c r="G5" s="136"/>
    </row>
    <row r="6" spans="1:11">
      <c r="A6" s="34"/>
      <c r="B6" s="35"/>
      <c r="C6" s="35"/>
      <c r="D6" s="36"/>
      <c r="E6" s="63"/>
      <c r="F6" s="35"/>
      <c r="G6" s="43"/>
    </row>
    <row r="7" spans="1:11" ht="15.6" customHeight="1">
      <c r="A7" s="37" t="s">
        <v>2</v>
      </c>
      <c r="B7" s="35"/>
      <c r="C7" s="35"/>
      <c r="D7" s="36"/>
      <c r="E7" s="64"/>
      <c r="F7" s="35" t="s">
        <v>3</v>
      </c>
      <c r="G7" s="44"/>
    </row>
    <row r="8" spans="1:11">
      <c r="A8" s="34"/>
      <c r="B8" s="35"/>
      <c r="C8" s="35"/>
      <c r="D8" s="36"/>
      <c r="E8" s="63"/>
      <c r="F8" s="35"/>
      <c r="G8" s="43"/>
    </row>
    <row r="9" spans="1:11">
      <c r="A9" s="38" t="s">
        <v>4</v>
      </c>
      <c r="B9" s="39" t="s">
        <v>5</v>
      </c>
      <c r="C9" s="40" t="s">
        <v>6</v>
      </c>
      <c r="D9" s="41" t="s">
        <v>7</v>
      </c>
      <c r="E9" s="65" t="s">
        <v>8</v>
      </c>
      <c r="F9" s="39" t="s">
        <v>9</v>
      </c>
      <c r="G9" s="45" t="s">
        <v>10</v>
      </c>
    </row>
    <row r="10" spans="1:11" s="2" customFormat="1" ht="28.2" customHeight="1">
      <c r="A10" s="4">
        <v>1</v>
      </c>
      <c r="B10" s="31">
        <v>6185</v>
      </c>
      <c r="C10" s="18">
        <v>88</v>
      </c>
      <c r="D10" s="19">
        <v>45154</v>
      </c>
      <c r="E10" s="66">
        <v>2171200</v>
      </c>
      <c r="F10" s="8" t="s">
        <v>11</v>
      </c>
      <c r="G10" s="46">
        <v>123281815537</v>
      </c>
      <c r="H10" s="17"/>
      <c r="I10" s="17"/>
      <c r="J10" s="17"/>
      <c r="K10" s="17"/>
    </row>
    <row r="11" spans="1:11" s="2" customFormat="1" ht="28.2" customHeight="1">
      <c r="A11" s="4">
        <v>2</v>
      </c>
      <c r="B11" s="31">
        <v>5866</v>
      </c>
      <c r="C11" s="18">
        <v>48</v>
      </c>
      <c r="D11" s="19">
        <v>45174</v>
      </c>
      <c r="E11" s="66">
        <v>3162400</v>
      </c>
      <c r="F11" s="8" t="s">
        <v>12</v>
      </c>
      <c r="G11" s="46">
        <v>123414174802</v>
      </c>
      <c r="H11" s="17"/>
      <c r="I11" s="17"/>
      <c r="J11" s="17"/>
      <c r="K11" s="17"/>
    </row>
    <row r="12" spans="1:11" s="2" customFormat="1">
      <c r="A12" s="4">
        <v>3</v>
      </c>
      <c r="B12" s="31">
        <v>6704</v>
      </c>
      <c r="C12" s="9">
        <v>40237</v>
      </c>
      <c r="D12" s="6">
        <v>45260</v>
      </c>
      <c r="E12" s="66">
        <v>525100</v>
      </c>
      <c r="F12" s="8" t="s">
        <v>13</v>
      </c>
      <c r="G12" s="24">
        <v>123973985044</v>
      </c>
      <c r="H12" s="17"/>
      <c r="I12" s="17"/>
      <c r="J12" s="17"/>
      <c r="K12" s="17"/>
    </row>
    <row r="13" spans="1:11" s="2" customFormat="1">
      <c r="A13" s="4">
        <v>4</v>
      </c>
      <c r="B13" s="31">
        <v>6815</v>
      </c>
      <c r="C13" s="5">
        <v>132</v>
      </c>
      <c r="D13" s="6">
        <v>45267</v>
      </c>
      <c r="E13" s="66">
        <v>330400</v>
      </c>
      <c r="F13" s="9" t="s">
        <v>14</v>
      </c>
      <c r="G13" s="47">
        <v>1231026674491</v>
      </c>
      <c r="H13" s="17"/>
      <c r="I13" s="17"/>
      <c r="J13" s="17"/>
      <c r="K13" s="17"/>
    </row>
    <row r="14" spans="1:11" s="2" customFormat="1" ht="28.2" customHeight="1">
      <c r="A14" s="4">
        <v>5</v>
      </c>
      <c r="B14" s="31">
        <v>6578</v>
      </c>
      <c r="C14" s="5">
        <v>114</v>
      </c>
      <c r="D14" s="6">
        <v>45306</v>
      </c>
      <c r="E14" s="66">
        <v>5344220</v>
      </c>
      <c r="F14" s="8" t="s">
        <v>15</v>
      </c>
      <c r="G14" s="47">
        <v>1231276565206</v>
      </c>
      <c r="H14" s="17"/>
      <c r="I14" s="17"/>
      <c r="J14" s="17"/>
      <c r="K14" s="17"/>
    </row>
    <row r="15" spans="1:11" s="2" customFormat="1">
      <c r="A15" s="67">
        <v>6</v>
      </c>
      <c r="B15" s="192">
        <v>6928</v>
      </c>
      <c r="C15" s="193">
        <v>16</v>
      </c>
      <c r="D15" s="194">
        <v>45331</v>
      </c>
      <c r="E15" s="195">
        <v>783725</v>
      </c>
      <c r="F15" s="196" t="s">
        <v>16</v>
      </c>
      <c r="G15" s="197">
        <v>1231484074372</v>
      </c>
      <c r="H15" s="17"/>
      <c r="I15" s="17"/>
      <c r="J15" s="17"/>
      <c r="K15" s="17"/>
    </row>
    <row r="16" spans="1:11" s="2" customFormat="1">
      <c r="A16" s="4">
        <v>7</v>
      </c>
      <c r="B16" s="31">
        <v>7087</v>
      </c>
      <c r="C16" s="5">
        <v>10245</v>
      </c>
      <c r="D16" s="6">
        <v>45393</v>
      </c>
      <c r="E16" s="66">
        <v>2436700</v>
      </c>
      <c r="F16" s="9" t="s">
        <v>17</v>
      </c>
      <c r="G16" s="47">
        <v>1231914255157</v>
      </c>
      <c r="H16" s="17"/>
      <c r="I16" s="17"/>
      <c r="J16" s="17"/>
      <c r="K16" s="17"/>
    </row>
    <row r="17" spans="1:11" s="2" customFormat="1">
      <c r="A17" s="4">
        <v>8</v>
      </c>
      <c r="B17" s="31">
        <v>6977</v>
      </c>
      <c r="C17" s="20">
        <v>1715</v>
      </c>
      <c r="D17" s="19">
        <v>45413</v>
      </c>
      <c r="E17" s="66">
        <v>2566500</v>
      </c>
      <c r="F17" s="9" t="s">
        <v>18</v>
      </c>
      <c r="G17" s="47">
        <v>1232063855515</v>
      </c>
      <c r="J17" s="17"/>
      <c r="K17" s="17"/>
    </row>
    <row r="18" spans="1:11" s="2" customFormat="1">
      <c r="A18" s="4">
        <v>9</v>
      </c>
      <c r="B18" s="31">
        <v>8114</v>
      </c>
      <c r="C18" s="18">
        <v>2037</v>
      </c>
      <c r="D18" s="19">
        <v>45502</v>
      </c>
      <c r="E18" s="66">
        <v>3085700</v>
      </c>
      <c r="F18" s="8" t="s">
        <v>19</v>
      </c>
      <c r="G18" s="46">
        <v>124242208588</v>
      </c>
      <c r="H18" s="17"/>
      <c r="I18" s="17"/>
      <c r="J18" s="17"/>
      <c r="K18" s="17"/>
    </row>
    <row r="19" spans="1:11" s="2" customFormat="1" ht="21" customHeight="1">
      <c r="A19" s="68">
        <v>10</v>
      </c>
      <c r="B19" s="152">
        <v>8088</v>
      </c>
      <c r="C19" s="156">
        <v>2016</v>
      </c>
      <c r="D19" s="154">
        <v>45504</v>
      </c>
      <c r="E19" s="155">
        <v>395300</v>
      </c>
      <c r="F19" s="158" t="s">
        <v>20</v>
      </c>
      <c r="G19" s="159">
        <v>124253094754</v>
      </c>
      <c r="H19" s="22"/>
      <c r="I19" s="17"/>
      <c r="J19" s="17"/>
      <c r="K19" s="17"/>
    </row>
    <row r="20" spans="1:11" s="2" customFormat="1">
      <c r="A20" s="4">
        <v>11</v>
      </c>
      <c r="B20" s="31">
        <v>8189</v>
      </c>
      <c r="C20" s="18">
        <v>2071</v>
      </c>
      <c r="D20" s="19">
        <v>45519</v>
      </c>
      <c r="E20" s="66">
        <v>767000</v>
      </c>
      <c r="F20" s="8" t="s">
        <v>21</v>
      </c>
      <c r="G20" s="46">
        <v>124371607789</v>
      </c>
      <c r="H20" s="17"/>
      <c r="I20" s="17"/>
      <c r="J20" s="17"/>
      <c r="K20" s="17"/>
    </row>
    <row r="21" spans="1:11">
      <c r="A21" s="4">
        <v>12</v>
      </c>
      <c r="B21" s="31">
        <v>8242</v>
      </c>
      <c r="C21" s="20">
        <v>2078</v>
      </c>
      <c r="D21" s="19">
        <v>45519</v>
      </c>
      <c r="E21" s="66">
        <v>16897600</v>
      </c>
      <c r="F21" s="9" t="s">
        <v>22</v>
      </c>
      <c r="G21" s="47">
        <v>124371854857</v>
      </c>
    </row>
    <row r="22" spans="1:11">
      <c r="A22" s="68">
        <v>13</v>
      </c>
      <c r="B22" s="152">
        <v>8374</v>
      </c>
      <c r="C22" s="153">
        <v>2124</v>
      </c>
      <c r="D22" s="154">
        <v>45546</v>
      </c>
      <c r="E22" s="155">
        <v>1209500</v>
      </c>
      <c r="F22" s="156" t="s">
        <v>23</v>
      </c>
      <c r="G22" s="157">
        <v>124584238396</v>
      </c>
    </row>
    <row r="23" spans="1:11">
      <c r="A23" s="4">
        <v>14</v>
      </c>
      <c r="B23" s="31">
        <v>8644</v>
      </c>
      <c r="C23" s="20">
        <v>2163</v>
      </c>
      <c r="D23" s="19">
        <v>45577</v>
      </c>
      <c r="E23" s="66">
        <v>3168300</v>
      </c>
      <c r="F23" s="9" t="s">
        <v>24</v>
      </c>
      <c r="G23" s="47">
        <v>124809188302</v>
      </c>
    </row>
    <row r="24" spans="1:11">
      <c r="A24" s="4">
        <v>15</v>
      </c>
      <c r="B24" s="32">
        <v>8723</v>
      </c>
      <c r="C24" s="20">
        <v>2189</v>
      </c>
      <c r="D24" s="19">
        <v>45598</v>
      </c>
      <c r="E24" s="66">
        <v>749300</v>
      </c>
      <c r="F24" s="9" t="s">
        <v>25</v>
      </c>
      <c r="G24" s="48">
        <v>124955573887</v>
      </c>
    </row>
    <row r="25" spans="1:11">
      <c r="A25" s="4">
        <v>16</v>
      </c>
      <c r="B25" s="29">
        <v>9243</v>
      </c>
      <c r="C25" s="13">
        <v>2316</v>
      </c>
      <c r="D25" s="11">
        <v>45706</v>
      </c>
      <c r="E25" s="69">
        <v>383500</v>
      </c>
      <c r="F25" s="13" t="s">
        <v>26</v>
      </c>
      <c r="G25" s="46">
        <v>1241790545233</v>
      </c>
      <c r="I25" s="70"/>
    </row>
    <row r="26" spans="1:11">
      <c r="A26" s="4">
        <v>17</v>
      </c>
      <c r="B26" s="29">
        <v>9115</v>
      </c>
      <c r="C26" s="13">
        <v>2338</v>
      </c>
      <c r="D26" s="11">
        <v>45706</v>
      </c>
      <c r="E26" s="69">
        <v>631300</v>
      </c>
      <c r="F26" s="13" t="s">
        <v>19</v>
      </c>
      <c r="G26" s="46">
        <v>1241790316111</v>
      </c>
    </row>
    <row r="27" spans="1:11">
      <c r="A27" s="4">
        <v>18</v>
      </c>
      <c r="B27" s="29">
        <v>9081</v>
      </c>
      <c r="C27" s="13">
        <v>2317</v>
      </c>
      <c r="D27" s="11">
        <v>45706</v>
      </c>
      <c r="E27" s="69">
        <v>2472100</v>
      </c>
      <c r="F27" s="13" t="s">
        <v>14</v>
      </c>
      <c r="G27" s="46">
        <v>1241790275494</v>
      </c>
    </row>
    <row r="28" spans="1:11">
      <c r="A28" s="4">
        <v>19</v>
      </c>
      <c r="B28" s="29">
        <v>8976</v>
      </c>
      <c r="C28" s="13">
        <v>2329</v>
      </c>
      <c r="D28" s="11">
        <v>45706</v>
      </c>
      <c r="E28" s="69">
        <v>761100</v>
      </c>
      <c r="F28" s="13" t="s">
        <v>27</v>
      </c>
      <c r="G28" s="46">
        <v>1241790495931</v>
      </c>
      <c r="I28" s="70"/>
    </row>
    <row r="29" spans="1:11">
      <c r="A29" s="4">
        <v>20</v>
      </c>
      <c r="B29" s="29">
        <v>9199</v>
      </c>
      <c r="C29" s="13">
        <v>2352</v>
      </c>
      <c r="D29" s="11">
        <v>45706</v>
      </c>
      <c r="E29" s="69">
        <v>1845520</v>
      </c>
      <c r="F29" s="13" t="s">
        <v>27</v>
      </c>
      <c r="G29" s="46">
        <v>1241790909022</v>
      </c>
    </row>
    <row r="30" spans="1:11">
      <c r="A30" s="4">
        <v>21</v>
      </c>
      <c r="B30" s="30">
        <v>8898</v>
      </c>
      <c r="C30" s="13">
        <v>2331</v>
      </c>
      <c r="D30" s="11">
        <v>45713</v>
      </c>
      <c r="E30" s="69">
        <v>5310000</v>
      </c>
      <c r="F30" s="13" t="s">
        <v>19</v>
      </c>
      <c r="G30" s="46">
        <v>1241856242875</v>
      </c>
    </row>
    <row r="31" spans="1:11">
      <c r="A31" s="71">
        <v>22</v>
      </c>
      <c r="B31" s="249">
        <v>10142</v>
      </c>
      <c r="C31" s="249">
        <v>2635</v>
      </c>
      <c r="D31" s="250">
        <v>45853</v>
      </c>
      <c r="E31" s="251">
        <v>377600</v>
      </c>
      <c r="F31" s="249" t="s">
        <v>28</v>
      </c>
      <c r="G31" s="252">
        <v>125109047827</v>
      </c>
      <c r="H31" s="23"/>
      <c r="I31" s="72"/>
      <c r="J31" s="72"/>
      <c r="K31" s="72"/>
    </row>
    <row r="32" spans="1:11">
      <c r="A32" s="71">
        <v>23</v>
      </c>
      <c r="B32" s="249">
        <v>10099</v>
      </c>
      <c r="C32" s="249">
        <v>2634</v>
      </c>
      <c r="D32" s="250">
        <v>45853</v>
      </c>
      <c r="E32" s="251">
        <v>1539900</v>
      </c>
      <c r="F32" s="249" t="s">
        <v>23</v>
      </c>
      <c r="G32" s="252">
        <v>125109078229</v>
      </c>
      <c r="H32" s="23"/>
      <c r="I32" s="25"/>
      <c r="J32" s="25"/>
      <c r="K32" s="25"/>
    </row>
    <row r="33" spans="1:15">
      <c r="A33" s="71">
        <v>24</v>
      </c>
      <c r="B33" s="249">
        <v>10064</v>
      </c>
      <c r="C33" s="249">
        <v>2599</v>
      </c>
      <c r="D33" s="250">
        <v>45853</v>
      </c>
      <c r="E33" s="251">
        <v>3068000</v>
      </c>
      <c r="F33" s="249" t="s">
        <v>14</v>
      </c>
      <c r="G33" s="252">
        <v>125108668684</v>
      </c>
    </row>
    <row r="34" spans="1:15">
      <c r="A34" s="71">
        <v>25</v>
      </c>
      <c r="B34" s="249">
        <v>10095</v>
      </c>
      <c r="C34" s="249">
        <v>2633</v>
      </c>
      <c r="D34" s="250">
        <v>45853</v>
      </c>
      <c r="E34" s="251">
        <v>1256700</v>
      </c>
      <c r="F34" s="249" t="s">
        <v>18</v>
      </c>
      <c r="G34" s="252">
        <v>125108708149</v>
      </c>
      <c r="H34" s="74"/>
      <c r="I34" s="70"/>
    </row>
    <row r="35" spans="1:15">
      <c r="A35" s="137">
        <v>26</v>
      </c>
      <c r="B35" s="55">
        <v>9935</v>
      </c>
      <c r="C35" s="55">
        <v>2597</v>
      </c>
      <c r="D35" s="56">
        <v>45853</v>
      </c>
      <c r="E35" s="57">
        <v>100000</v>
      </c>
      <c r="F35" s="55" t="s">
        <v>29</v>
      </c>
      <c r="G35" s="58">
        <v>125108650936</v>
      </c>
      <c r="H35" s="70"/>
      <c r="I35" s="75"/>
      <c r="J35" s="70"/>
      <c r="K35" s="70"/>
    </row>
    <row r="36" spans="1:15">
      <c r="A36" s="137">
        <v>27</v>
      </c>
      <c r="B36" s="55">
        <v>9878</v>
      </c>
      <c r="C36" s="55">
        <v>2618</v>
      </c>
      <c r="D36" s="56">
        <v>45853</v>
      </c>
      <c r="E36" s="57">
        <v>2778900</v>
      </c>
      <c r="F36" s="55" t="s">
        <v>21</v>
      </c>
      <c r="G36" s="58">
        <v>125108597629</v>
      </c>
      <c r="H36" s="76"/>
      <c r="I36" s="255" t="s">
        <v>121</v>
      </c>
      <c r="J36" s="254" t="s">
        <v>83</v>
      </c>
      <c r="K36" s="25"/>
      <c r="N36" s="72"/>
      <c r="O36" s="25"/>
    </row>
    <row r="37" spans="1:15">
      <c r="A37" s="71">
        <v>28</v>
      </c>
      <c r="B37" s="249">
        <v>9920</v>
      </c>
      <c r="C37" s="249">
        <v>2627</v>
      </c>
      <c r="D37" s="250">
        <v>45853</v>
      </c>
      <c r="E37" s="251">
        <v>595900</v>
      </c>
      <c r="F37" s="249" t="s">
        <v>30</v>
      </c>
      <c r="G37" s="252">
        <v>125108511328</v>
      </c>
      <c r="H37" s="25"/>
      <c r="I37" s="247" t="s">
        <v>123</v>
      </c>
      <c r="J37" s="248">
        <v>507400</v>
      </c>
      <c r="K37" s="204"/>
      <c r="N37" s="138" t="s">
        <v>31</v>
      </c>
      <c r="O37" s="138" t="s">
        <v>8</v>
      </c>
    </row>
    <row r="38" spans="1:15">
      <c r="A38" s="71">
        <v>29</v>
      </c>
      <c r="B38" s="249">
        <v>9937</v>
      </c>
      <c r="C38" s="249">
        <v>2609</v>
      </c>
      <c r="D38" s="250">
        <v>45853</v>
      </c>
      <c r="E38" s="251">
        <v>4377800</v>
      </c>
      <c r="F38" s="249" t="s">
        <v>32</v>
      </c>
      <c r="G38" s="252">
        <v>125108491321</v>
      </c>
      <c r="I38" s="247" t="s">
        <v>125</v>
      </c>
      <c r="J38" s="248">
        <v>2271500</v>
      </c>
      <c r="K38" s="205"/>
      <c r="L38" s="182" t="s">
        <v>31</v>
      </c>
      <c r="M38" s="183" t="s">
        <v>8</v>
      </c>
      <c r="N38" s="139" t="s">
        <v>33</v>
      </c>
      <c r="O38" s="140">
        <v>413000</v>
      </c>
    </row>
    <row r="39" spans="1:15">
      <c r="A39" s="71">
        <v>30</v>
      </c>
      <c r="B39" s="249">
        <v>9971</v>
      </c>
      <c r="C39" s="249">
        <v>2604</v>
      </c>
      <c r="D39" s="250">
        <v>45853</v>
      </c>
      <c r="E39" s="251">
        <v>407100</v>
      </c>
      <c r="F39" s="249" t="s">
        <v>34</v>
      </c>
      <c r="G39" s="252">
        <v>125108432893</v>
      </c>
      <c r="I39" s="247" t="s">
        <v>126</v>
      </c>
      <c r="J39" s="248">
        <v>430700</v>
      </c>
      <c r="K39" s="206"/>
      <c r="L39" s="174" t="s">
        <v>36</v>
      </c>
      <c r="M39" s="175">
        <v>418900</v>
      </c>
      <c r="N39" s="59" t="s">
        <v>35</v>
      </c>
      <c r="O39" s="60">
        <v>920400</v>
      </c>
    </row>
    <row r="40" spans="1:15">
      <c r="A40" s="71">
        <v>31</v>
      </c>
      <c r="B40" s="249">
        <v>9968</v>
      </c>
      <c r="C40" s="249">
        <v>2606</v>
      </c>
      <c r="D40" s="250">
        <v>45853</v>
      </c>
      <c r="E40" s="251">
        <v>507400</v>
      </c>
      <c r="F40" s="249" t="s">
        <v>37</v>
      </c>
      <c r="G40" s="252">
        <v>125108481241</v>
      </c>
      <c r="I40" s="247" t="s">
        <v>128</v>
      </c>
      <c r="J40" s="248">
        <v>1646100</v>
      </c>
      <c r="K40" s="206"/>
      <c r="L40" s="174" t="s">
        <v>39</v>
      </c>
      <c r="M40" s="175">
        <v>767000</v>
      </c>
      <c r="N40" s="59" t="s">
        <v>38</v>
      </c>
      <c r="O40" s="60">
        <v>2778900</v>
      </c>
    </row>
    <row r="41" spans="1:15">
      <c r="A41" s="137">
        <v>32</v>
      </c>
      <c r="B41" s="55">
        <v>10018</v>
      </c>
      <c r="C41" s="55">
        <v>2629</v>
      </c>
      <c r="D41" s="56">
        <v>45853</v>
      </c>
      <c r="E41" s="57">
        <v>2991300</v>
      </c>
      <c r="F41" s="55" t="s">
        <v>22</v>
      </c>
      <c r="G41" s="58">
        <v>125108519851</v>
      </c>
      <c r="I41" s="54" t="s">
        <v>129</v>
      </c>
      <c r="J41" s="104">
        <v>1032028</v>
      </c>
      <c r="K41" s="206"/>
      <c r="L41" s="174" t="s">
        <v>41</v>
      </c>
      <c r="M41" s="175">
        <v>867300</v>
      </c>
      <c r="N41" s="59" t="s">
        <v>40</v>
      </c>
      <c r="O41" s="60">
        <v>194700</v>
      </c>
    </row>
    <row r="42" spans="1:15">
      <c r="A42" s="71">
        <v>33</v>
      </c>
      <c r="B42" s="249">
        <v>9919</v>
      </c>
      <c r="C42" s="249">
        <v>2626</v>
      </c>
      <c r="D42" s="250">
        <v>45853</v>
      </c>
      <c r="E42" s="251">
        <v>1062000</v>
      </c>
      <c r="F42" s="249" t="s">
        <v>42</v>
      </c>
      <c r="G42" s="252">
        <v>125108530345</v>
      </c>
      <c r="I42" s="247" t="s">
        <v>132</v>
      </c>
      <c r="J42" s="248">
        <v>4377800</v>
      </c>
      <c r="K42" s="206"/>
      <c r="L42" s="174" t="s">
        <v>44</v>
      </c>
      <c r="M42" s="175">
        <v>525100</v>
      </c>
      <c r="N42" s="59" t="s">
        <v>43</v>
      </c>
      <c r="O42" s="60">
        <v>100000</v>
      </c>
    </row>
    <row r="43" spans="1:15">
      <c r="A43" s="71">
        <v>34</v>
      </c>
      <c r="B43" s="249">
        <v>9910</v>
      </c>
      <c r="C43" s="249">
        <v>2624</v>
      </c>
      <c r="D43" s="250">
        <v>45853</v>
      </c>
      <c r="E43" s="251">
        <v>418900</v>
      </c>
      <c r="F43" s="249" t="s">
        <v>19</v>
      </c>
      <c r="G43" s="252">
        <v>125108564104</v>
      </c>
      <c r="I43" s="247" t="s">
        <v>133</v>
      </c>
      <c r="J43" s="248">
        <v>595900</v>
      </c>
      <c r="K43" s="206"/>
      <c r="L43" s="174" t="s">
        <v>46</v>
      </c>
      <c r="M43" s="175">
        <v>418900</v>
      </c>
      <c r="N43" s="59" t="s">
        <v>45</v>
      </c>
      <c r="O43" s="60">
        <v>2991300</v>
      </c>
    </row>
    <row r="44" spans="1:15">
      <c r="A44" s="137">
        <v>35</v>
      </c>
      <c r="B44" s="55">
        <v>9880</v>
      </c>
      <c r="C44" s="55">
        <v>2619</v>
      </c>
      <c r="D44" s="56">
        <v>45853</v>
      </c>
      <c r="E44" s="57">
        <v>194700</v>
      </c>
      <c r="F44" s="55" t="s">
        <v>16</v>
      </c>
      <c r="G44" s="58">
        <v>125108572978</v>
      </c>
      <c r="I44" s="247" t="s">
        <v>135</v>
      </c>
      <c r="J44" s="248">
        <v>377600</v>
      </c>
      <c r="K44" s="206"/>
      <c r="L44" s="174" t="s">
        <v>48</v>
      </c>
      <c r="M44" s="175">
        <v>2011900</v>
      </c>
      <c r="N44" s="59" t="s">
        <v>47</v>
      </c>
      <c r="O44" s="60">
        <v>595900</v>
      </c>
    </row>
    <row r="45" spans="1:15">
      <c r="A45" s="137">
        <v>36</v>
      </c>
      <c r="B45" s="55">
        <v>9943</v>
      </c>
      <c r="C45" s="55">
        <v>2616</v>
      </c>
      <c r="D45" s="56">
        <v>45853</v>
      </c>
      <c r="E45" s="57">
        <v>413000</v>
      </c>
      <c r="F45" s="55" t="s">
        <v>29</v>
      </c>
      <c r="G45" s="58">
        <v>125108613415</v>
      </c>
      <c r="I45" s="247" t="s">
        <v>136</v>
      </c>
      <c r="J45" s="248">
        <v>1256700</v>
      </c>
      <c r="K45" s="207"/>
      <c r="L45" s="174" t="s">
        <v>50</v>
      </c>
      <c r="M45" s="175">
        <v>784700</v>
      </c>
      <c r="N45" s="141" t="s">
        <v>49</v>
      </c>
      <c r="O45" s="142">
        <f>SUBTOTAL(109,Table1[Amount])</f>
        <v>7994200</v>
      </c>
    </row>
    <row r="46" spans="1:15">
      <c r="A46" s="137">
        <v>37</v>
      </c>
      <c r="B46" s="55">
        <v>9926</v>
      </c>
      <c r="C46" s="55">
        <v>2611</v>
      </c>
      <c r="D46" s="56">
        <v>45853</v>
      </c>
      <c r="E46" s="57">
        <v>920400</v>
      </c>
      <c r="F46" s="55" t="s">
        <v>51</v>
      </c>
      <c r="G46" s="58">
        <v>125108633557</v>
      </c>
      <c r="I46" s="247" t="s">
        <v>138</v>
      </c>
      <c r="J46" s="248">
        <v>407100</v>
      </c>
      <c r="L46" s="52" t="s">
        <v>52</v>
      </c>
      <c r="M46" s="77">
        <v>4767200</v>
      </c>
      <c r="N46" s="33"/>
      <c r="O46" s="33"/>
    </row>
    <row r="47" spans="1:15">
      <c r="A47" s="78">
        <v>38</v>
      </c>
      <c r="B47" s="238">
        <v>9897</v>
      </c>
      <c r="C47" s="238">
        <v>2622</v>
      </c>
      <c r="D47" s="239">
        <v>45855</v>
      </c>
      <c r="E47" s="240">
        <v>1404200</v>
      </c>
      <c r="F47" s="238" t="s">
        <v>20</v>
      </c>
      <c r="G47" s="241">
        <v>125124149359</v>
      </c>
      <c r="I47" s="247" t="s">
        <v>141</v>
      </c>
      <c r="J47" s="248">
        <v>3068000</v>
      </c>
      <c r="K47" s="208"/>
      <c r="L47" s="174" t="s">
        <v>53</v>
      </c>
      <c r="M47" s="175">
        <v>483800</v>
      </c>
      <c r="N47" s="198" t="s">
        <v>31</v>
      </c>
      <c r="O47" s="199" t="s">
        <v>8</v>
      </c>
    </row>
    <row r="48" spans="1:15">
      <c r="A48" s="4">
        <v>39</v>
      </c>
      <c r="B48" s="29">
        <v>9877</v>
      </c>
      <c r="C48" s="13">
        <v>2617</v>
      </c>
      <c r="D48" s="11">
        <v>45855</v>
      </c>
      <c r="E48" s="69">
        <v>1309800</v>
      </c>
      <c r="F48" s="13" t="s">
        <v>42</v>
      </c>
      <c r="G48" s="46">
        <v>125124130846</v>
      </c>
      <c r="I48" s="54" t="s">
        <v>143</v>
      </c>
      <c r="J48" s="104">
        <v>2135800</v>
      </c>
      <c r="K48" s="209"/>
      <c r="L48" s="174" t="s">
        <v>55</v>
      </c>
      <c r="M48" s="175">
        <v>1056100</v>
      </c>
      <c r="N48" s="200" t="s">
        <v>54</v>
      </c>
      <c r="O48" s="201">
        <v>2023700</v>
      </c>
    </row>
    <row r="49" spans="1:15">
      <c r="A49" s="71">
        <v>40</v>
      </c>
      <c r="B49" s="249">
        <v>10041</v>
      </c>
      <c r="C49" s="249">
        <v>2615</v>
      </c>
      <c r="D49" s="250">
        <v>45855</v>
      </c>
      <c r="E49" s="251">
        <v>430700</v>
      </c>
      <c r="F49" s="249" t="s">
        <v>56</v>
      </c>
      <c r="G49" s="252">
        <v>125124116815</v>
      </c>
      <c r="H49" s="70"/>
      <c r="I49" s="247" t="s">
        <v>146</v>
      </c>
      <c r="J49" s="248">
        <v>1062000</v>
      </c>
      <c r="K49" s="210"/>
      <c r="L49" s="174" t="s">
        <v>58</v>
      </c>
      <c r="M49" s="175">
        <v>2560200</v>
      </c>
      <c r="N49" s="202" t="s">
        <v>57</v>
      </c>
      <c r="O49" s="203">
        <f>SUBTOTAL(109,O48)</f>
        <v>2023700</v>
      </c>
    </row>
    <row r="50" spans="1:15">
      <c r="A50" s="71">
        <v>41</v>
      </c>
      <c r="B50" s="249">
        <v>10010</v>
      </c>
      <c r="C50" s="249">
        <v>2603</v>
      </c>
      <c r="D50" s="250">
        <v>45855</v>
      </c>
      <c r="E50" s="251">
        <v>1646100</v>
      </c>
      <c r="F50" s="249" t="s">
        <v>27</v>
      </c>
      <c r="G50" s="252">
        <v>125124345622</v>
      </c>
      <c r="I50" s="247" t="s">
        <v>148</v>
      </c>
      <c r="J50" s="248">
        <v>3794880</v>
      </c>
      <c r="L50" s="180" t="s">
        <v>57</v>
      </c>
      <c r="M50" s="181">
        <f>SUBTOTAL(109,Table15[Amount])</f>
        <v>14661100</v>
      </c>
      <c r="N50" s="33"/>
      <c r="O50" s="33"/>
    </row>
    <row r="51" spans="1:15">
      <c r="A51" s="78">
        <v>42</v>
      </c>
      <c r="B51" s="238">
        <v>10020</v>
      </c>
      <c r="C51" s="238">
        <v>2607</v>
      </c>
      <c r="D51" s="239">
        <v>45855</v>
      </c>
      <c r="E51" s="240">
        <v>1593000</v>
      </c>
      <c r="F51" s="238" t="s">
        <v>22</v>
      </c>
      <c r="G51" s="241">
        <v>125124216769</v>
      </c>
      <c r="I51" s="247" t="s">
        <v>149</v>
      </c>
      <c r="J51" s="248">
        <v>418900</v>
      </c>
      <c r="K51" s="211"/>
      <c r="N51" s="79" t="s">
        <v>31</v>
      </c>
      <c r="O51" s="80" t="s">
        <v>8</v>
      </c>
    </row>
    <row r="52" spans="1:15">
      <c r="A52" s="4">
        <v>43</v>
      </c>
      <c r="B52" s="29">
        <v>10158</v>
      </c>
      <c r="C52" s="13">
        <v>2556</v>
      </c>
      <c r="D52" s="11">
        <v>45855</v>
      </c>
      <c r="E52" s="69">
        <v>1032028</v>
      </c>
      <c r="F52" s="13" t="s">
        <v>34</v>
      </c>
      <c r="G52" s="46">
        <v>125022955464</v>
      </c>
      <c r="I52" s="247" t="s">
        <v>150</v>
      </c>
      <c r="J52" s="248">
        <v>1539900</v>
      </c>
      <c r="K52" s="212"/>
      <c r="L52" s="168" t="s">
        <v>31</v>
      </c>
      <c r="M52" s="169" t="s">
        <v>8</v>
      </c>
      <c r="N52" s="81" t="s">
        <v>59</v>
      </c>
      <c r="O52" s="82">
        <v>430700</v>
      </c>
    </row>
    <row r="53" spans="1:15">
      <c r="A53" s="78">
        <v>44</v>
      </c>
      <c r="B53" s="238">
        <v>10123</v>
      </c>
      <c r="C53" s="238">
        <v>2608</v>
      </c>
      <c r="D53" s="239">
        <v>45855</v>
      </c>
      <c r="E53" s="240">
        <v>960725</v>
      </c>
      <c r="F53" s="238" t="s">
        <v>60</v>
      </c>
      <c r="G53" s="241">
        <v>125124184108</v>
      </c>
      <c r="H53" s="73"/>
      <c r="I53" s="247" t="s">
        <v>152</v>
      </c>
      <c r="J53" s="248">
        <v>2283300</v>
      </c>
      <c r="K53" s="213"/>
      <c r="L53" s="167" t="s">
        <v>62</v>
      </c>
      <c r="M53" s="151">
        <v>395300</v>
      </c>
      <c r="N53" s="85" t="s">
        <v>61</v>
      </c>
      <c r="O53" s="86">
        <f>SUBTOTAL(109,O52)</f>
        <v>430700</v>
      </c>
    </row>
    <row r="54" spans="1:15" ht="15" customHeight="1" thickBot="1">
      <c r="A54" s="4">
        <v>45</v>
      </c>
      <c r="B54" s="29">
        <v>10172</v>
      </c>
      <c r="C54" s="13">
        <v>2623</v>
      </c>
      <c r="D54" s="11">
        <v>45860</v>
      </c>
      <c r="E54" s="69">
        <v>177000</v>
      </c>
      <c r="F54" s="13" t="s">
        <v>17</v>
      </c>
      <c r="G54" s="46">
        <v>125162569837</v>
      </c>
      <c r="I54" s="247" t="s">
        <v>153</v>
      </c>
      <c r="J54" s="248">
        <v>1138700</v>
      </c>
      <c r="K54" s="87"/>
      <c r="L54" s="167" t="s">
        <v>63</v>
      </c>
      <c r="M54" s="151">
        <v>1209500</v>
      </c>
      <c r="N54" s="33"/>
      <c r="O54" s="87"/>
    </row>
    <row r="55" spans="1:15" s="33" customFormat="1">
      <c r="A55" s="78">
        <v>46</v>
      </c>
      <c r="B55" s="238">
        <v>10174</v>
      </c>
      <c r="C55" s="238">
        <v>2469</v>
      </c>
      <c r="D55" s="239">
        <v>45860</v>
      </c>
      <c r="E55" s="240">
        <v>330400</v>
      </c>
      <c r="F55" s="238" t="s">
        <v>42</v>
      </c>
      <c r="G55" s="241">
        <v>125162586109</v>
      </c>
      <c r="I55" s="253" t="s">
        <v>49</v>
      </c>
      <c r="J55" s="254">
        <f>SUM(J37:J54)</f>
        <v>28344308</v>
      </c>
      <c r="K55" s="214"/>
      <c r="L55" s="167" t="s">
        <v>64</v>
      </c>
      <c r="M55" s="151">
        <v>3481000</v>
      </c>
      <c r="N55" s="88" t="s">
        <v>31</v>
      </c>
      <c r="O55" s="89" t="s">
        <v>8</v>
      </c>
    </row>
    <row r="56" spans="1:15" s="33" customFormat="1">
      <c r="A56" s="71">
        <v>47</v>
      </c>
      <c r="B56" s="249">
        <v>10157</v>
      </c>
      <c r="C56" s="249">
        <v>2645</v>
      </c>
      <c r="D56" s="250">
        <v>45868</v>
      </c>
      <c r="E56" s="251">
        <v>1138700</v>
      </c>
      <c r="F56" s="249" t="s">
        <v>19</v>
      </c>
      <c r="G56" s="252">
        <v>125224725178</v>
      </c>
      <c r="K56" s="215"/>
      <c r="L56" s="167" t="s">
        <v>66</v>
      </c>
      <c r="M56" s="151">
        <v>3416100</v>
      </c>
      <c r="N56" s="90" t="s">
        <v>65</v>
      </c>
      <c r="O56" s="91">
        <v>236000</v>
      </c>
    </row>
    <row r="57" spans="1:15" s="33" customFormat="1">
      <c r="A57" s="92">
        <v>48</v>
      </c>
      <c r="B57" s="29">
        <v>10098</v>
      </c>
      <c r="C57" s="29">
        <v>2656</v>
      </c>
      <c r="D57" s="160">
        <v>45868</v>
      </c>
      <c r="E57" s="161">
        <v>2336400</v>
      </c>
      <c r="F57" s="29" t="s">
        <v>26</v>
      </c>
      <c r="G57" s="162">
        <v>125224740838</v>
      </c>
      <c r="K57" s="215"/>
      <c r="L57" s="167" t="s">
        <v>68</v>
      </c>
      <c r="M57" s="151">
        <v>767000</v>
      </c>
      <c r="N57" s="90" t="s">
        <v>67</v>
      </c>
      <c r="O57" s="91">
        <v>217400</v>
      </c>
    </row>
    <row r="58" spans="1:15" s="33" customFormat="1">
      <c r="A58" s="92">
        <v>49</v>
      </c>
      <c r="B58" s="29">
        <v>10092</v>
      </c>
      <c r="C58" s="29">
        <v>2655</v>
      </c>
      <c r="D58" s="160">
        <v>45868</v>
      </c>
      <c r="E58" s="161">
        <v>820100</v>
      </c>
      <c r="F58" s="29" t="s">
        <v>26</v>
      </c>
      <c r="G58" s="162">
        <v>125224751413</v>
      </c>
      <c r="K58" s="215"/>
      <c r="L58" s="167" t="s">
        <v>70</v>
      </c>
      <c r="M58" s="151">
        <v>4078080</v>
      </c>
      <c r="N58" s="90" t="s">
        <v>69</v>
      </c>
      <c r="O58" s="91">
        <v>2430800</v>
      </c>
    </row>
    <row r="59" spans="1:15" s="33" customFormat="1">
      <c r="A59" s="92">
        <v>50</v>
      </c>
      <c r="B59" s="29">
        <v>10153</v>
      </c>
      <c r="C59" s="29">
        <v>2649</v>
      </c>
      <c r="D59" s="160">
        <v>45868</v>
      </c>
      <c r="E59" s="161">
        <v>525100</v>
      </c>
      <c r="F59" s="29" t="s">
        <v>71</v>
      </c>
      <c r="G59" s="162">
        <v>125224844689</v>
      </c>
      <c r="K59" s="215"/>
      <c r="L59" s="167" t="s">
        <v>73</v>
      </c>
      <c r="M59" s="151">
        <v>2124000</v>
      </c>
      <c r="N59" s="90" t="s">
        <v>72</v>
      </c>
      <c r="O59" s="91">
        <v>1988300</v>
      </c>
    </row>
    <row r="60" spans="1:15" s="33" customFormat="1">
      <c r="A60" s="137">
        <v>51</v>
      </c>
      <c r="B60" s="55">
        <v>10173</v>
      </c>
      <c r="C60" s="55">
        <v>2530</v>
      </c>
      <c r="D60" s="56">
        <v>45868</v>
      </c>
      <c r="E60" s="57">
        <v>595900</v>
      </c>
      <c r="F60" s="55" t="s">
        <v>24</v>
      </c>
      <c r="G60" s="58">
        <v>125225017507</v>
      </c>
      <c r="K60" s="215"/>
      <c r="L60" s="167" t="s">
        <v>75</v>
      </c>
      <c r="M60" s="151">
        <v>3167120</v>
      </c>
      <c r="N60" s="90" t="s">
        <v>74</v>
      </c>
      <c r="O60" s="91">
        <v>649000</v>
      </c>
    </row>
    <row r="61" spans="1:15" s="33" customFormat="1">
      <c r="A61" s="4">
        <v>52</v>
      </c>
      <c r="B61" s="30">
        <v>10250</v>
      </c>
      <c r="C61" s="13">
        <v>2529</v>
      </c>
      <c r="D61" s="11">
        <v>45868</v>
      </c>
      <c r="E61" s="69">
        <v>819125.32</v>
      </c>
      <c r="F61" s="13" t="s">
        <v>56</v>
      </c>
      <c r="G61" s="46">
        <v>125224986367</v>
      </c>
      <c r="K61" s="215"/>
      <c r="L61" s="167" t="s">
        <v>77</v>
      </c>
      <c r="M61" s="151">
        <v>991200</v>
      </c>
      <c r="N61" s="90" t="s">
        <v>76</v>
      </c>
      <c r="O61" s="91">
        <v>932200</v>
      </c>
    </row>
    <row r="62" spans="1:15" s="33" customFormat="1" ht="15" customHeight="1" thickBot="1">
      <c r="A62" s="71">
        <v>53</v>
      </c>
      <c r="B62" s="249">
        <v>10210</v>
      </c>
      <c r="C62" s="249">
        <v>2648</v>
      </c>
      <c r="D62" s="250">
        <v>45868</v>
      </c>
      <c r="E62" s="251">
        <v>2283300</v>
      </c>
      <c r="F62" s="249" t="s">
        <v>78</v>
      </c>
      <c r="G62" s="252">
        <v>125224830307</v>
      </c>
      <c r="K62" s="216"/>
      <c r="L62" s="167" t="s">
        <v>79</v>
      </c>
      <c r="M62" s="151">
        <v>507400</v>
      </c>
      <c r="N62" s="93" t="s">
        <v>49</v>
      </c>
      <c r="O62" s="94">
        <f>SUBTOTAL(109,O56:O61)</f>
        <v>6453700</v>
      </c>
    </row>
    <row r="63" spans="1:15" s="33" customFormat="1">
      <c r="A63" s="71">
        <v>54</v>
      </c>
      <c r="B63" s="249">
        <v>10160</v>
      </c>
      <c r="C63" s="249">
        <v>2651</v>
      </c>
      <c r="D63" s="250">
        <v>45868</v>
      </c>
      <c r="E63" s="251">
        <v>3794880</v>
      </c>
      <c r="F63" s="249" t="s">
        <v>34</v>
      </c>
      <c r="G63" s="252">
        <v>125224764085</v>
      </c>
      <c r="L63" s="167" t="s">
        <v>80</v>
      </c>
      <c r="M63" s="151">
        <v>672600</v>
      </c>
    </row>
    <row r="64" spans="1:15" s="33" customFormat="1">
      <c r="A64" s="78">
        <v>55</v>
      </c>
      <c r="B64" s="238">
        <v>8721</v>
      </c>
      <c r="C64" s="238">
        <v>2201</v>
      </c>
      <c r="D64" s="239">
        <v>45875</v>
      </c>
      <c r="E64" s="240">
        <v>525100</v>
      </c>
      <c r="F64" s="238" t="s">
        <v>81</v>
      </c>
      <c r="G64" s="241">
        <v>125276252563</v>
      </c>
      <c r="L64" s="170" t="s">
        <v>49</v>
      </c>
      <c r="M64" s="171">
        <f>SUBTOTAL(109,Table161011[Amount])</f>
        <v>20809300</v>
      </c>
    </row>
    <row r="65" spans="1:13" s="33" customFormat="1" ht="13.8">
      <c r="A65" s="78">
        <v>56</v>
      </c>
      <c r="B65" s="238">
        <v>8243</v>
      </c>
      <c r="C65" s="238">
        <v>2045</v>
      </c>
      <c r="D65" s="239">
        <v>45875</v>
      </c>
      <c r="E65" s="240">
        <v>2832000</v>
      </c>
      <c r="F65" s="238" t="s">
        <v>22</v>
      </c>
      <c r="G65" s="241">
        <v>125276229586</v>
      </c>
    </row>
    <row r="66" spans="1:13" s="33" customFormat="1" ht="15" customHeight="1" thickBot="1">
      <c r="A66" s="71">
        <v>57</v>
      </c>
      <c r="B66" s="249">
        <v>9942</v>
      </c>
      <c r="C66" s="249">
        <v>2613</v>
      </c>
      <c r="D66" s="250">
        <v>45875</v>
      </c>
      <c r="E66" s="251">
        <v>2271500</v>
      </c>
      <c r="F66" s="249" t="s">
        <v>25</v>
      </c>
      <c r="G66" s="252">
        <v>125276199076</v>
      </c>
      <c r="I66" s="97" t="s">
        <v>82</v>
      </c>
      <c r="J66" s="98" t="s">
        <v>83</v>
      </c>
      <c r="K66" s="217"/>
    </row>
    <row r="67" spans="1:13" s="33" customFormat="1" ht="15.6" customHeight="1">
      <c r="A67" s="99">
        <v>58</v>
      </c>
      <c r="B67" s="100">
        <v>10205</v>
      </c>
      <c r="C67" s="100">
        <v>2688</v>
      </c>
      <c r="D67" s="101">
        <v>45884</v>
      </c>
      <c r="E67" s="102">
        <v>1988300</v>
      </c>
      <c r="F67" s="100" t="s">
        <v>21</v>
      </c>
      <c r="G67" s="103">
        <v>125360596594</v>
      </c>
      <c r="I67" s="54" t="s">
        <v>84</v>
      </c>
      <c r="J67" s="104">
        <v>100000</v>
      </c>
      <c r="K67" s="218"/>
      <c r="L67" s="172" t="s">
        <v>85</v>
      </c>
      <c r="M67" s="173" t="s">
        <v>83</v>
      </c>
    </row>
    <row r="68" spans="1:13" s="33" customFormat="1">
      <c r="A68" s="92">
        <v>59</v>
      </c>
      <c r="B68" s="29">
        <v>10229</v>
      </c>
      <c r="C68" s="29">
        <v>2672</v>
      </c>
      <c r="D68" s="160">
        <v>45884</v>
      </c>
      <c r="E68" s="161">
        <v>3544720</v>
      </c>
      <c r="F68" s="29" t="s">
        <v>26</v>
      </c>
      <c r="G68" s="162">
        <v>125361050662</v>
      </c>
      <c r="I68" s="54" t="s">
        <v>86</v>
      </c>
      <c r="J68" s="104">
        <v>250000</v>
      </c>
      <c r="K68" s="219"/>
      <c r="L68" s="163" t="s">
        <v>87</v>
      </c>
      <c r="M68" s="164">
        <v>3544720</v>
      </c>
    </row>
    <row r="69" spans="1:13" s="33" customFormat="1">
      <c r="A69" s="105">
        <v>60</v>
      </c>
      <c r="B69" s="176">
        <v>9549</v>
      </c>
      <c r="C69" s="176">
        <v>2531</v>
      </c>
      <c r="D69" s="177">
        <v>45883</v>
      </c>
      <c r="E69" s="178">
        <v>483800</v>
      </c>
      <c r="F69" s="176" t="s">
        <v>88</v>
      </c>
      <c r="G69" s="179">
        <v>125359838398</v>
      </c>
      <c r="I69" s="54" t="s">
        <v>89</v>
      </c>
      <c r="J69" s="104">
        <v>532600</v>
      </c>
      <c r="K69" s="219"/>
      <c r="L69" s="163" t="s">
        <v>90</v>
      </c>
      <c r="M69" s="164">
        <v>1705100</v>
      </c>
    </row>
    <row r="70" spans="1:13" s="33" customFormat="1">
      <c r="A70" s="105">
        <v>61</v>
      </c>
      <c r="B70" s="176">
        <v>10181</v>
      </c>
      <c r="C70" s="176">
        <v>2680</v>
      </c>
      <c r="D70" s="177">
        <v>45883</v>
      </c>
      <c r="E70" s="178">
        <v>2011900</v>
      </c>
      <c r="F70" s="176" t="s">
        <v>91</v>
      </c>
      <c r="G70" s="179">
        <v>125361070561</v>
      </c>
      <c r="I70" s="275" t="s">
        <v>92</v>
      </c>
      <c r="J70" s="104">
        <v>400000</v>
      </c>
      <c r="K70" s="219"/>
      <c r="L70" s="163" t="s">
        <v>93</v>
      </c>
      <c r="M70" s="164">
        <v>767000</v>
      </c>
    </row>
    <row r="71" spans="1:13" s="33" customFormat="1">
      <c r="A71" s="92">
        <v>62</v>
      </c>
      <c r="B71" s="29">
        <v>10171</v>
      </c>
      <c r="C71" s="29">
        <v>2683</v>
      </c>
      <c r="D71" s="160">
        <v>45883</v>
      </c>
      <c r="E71" s="161">
        <v>767000</v>
      </c>
      <c r="F71" s="29" t="s">
        <v>94</v>
      </c>
      <c r="G71" s="162">
        <v>125360853112</v>
      </c>
      <c r="I71" s="274" t="s">
        <v>95</v>
      </c>
      <c r="J71" s="270">
        <v>1534000</v>
      </c>
      <c r="K71" s="220"/>
      <c r="L71" s="163" t="s">
        <v>96</v>
      </c>
      <c r="M71" s="164">
        <v>525100</v>
      </c>
    </row>
    <row r="72" spans="1:13" s="33" customFormat="1">
      <c r="A72" s="99">
        <v>63</v>
      </c>
      <c r="B72" s="100">
        <v>10145</v>
      </c>
      <c r="C72" s="100">
        <v>2676</v>
      </c>
      <c r="D72" s="101">
        <v>45883</v>
      </c>
      <c r="E72" s="102">
        <v>2430800</v>
      </c>
      <c r="F72" s="100" t="s">
        <v>97</v>
      </c>
      <c r="G72" s="103">
        <v>125360889994</v>
      </c>
      <c r="I72" s="274" t="s">
        <v>98</v>
      </c>
      <c r="J72" s="270">
        <v>2242000</v>
      </c>
      <c r="K72" s="220"/>
      <c r="L72" s="163" t="s">
        <v>99</v>
      </c>
      <c r="M72" s="164">
        <v>2336400</v>
      </c>
    </row>
    <row r="73" spans="1:13" s="33" customFormat="1">
      <c r="A73" s="67">
        <v>64</v>
      </c>
      <c r="B73" s="191">
        <v>10208</v>
      </c>
      <c r="C73" s="185">
        <v>2677</v>
      </c>
      <c r="D73" s="186">
        <v>45883</v>
      </c>
      <c r="E73" s="187">
        <v>4177200</v>
      </c>
      <c r="F73" s="185" t="s">
        <v>78</v>
      </c>
      <c r="G73" s="188">
        <v>125360612623</v>
      </c>
      <c r="I73" s="269" t="s">
        <v>100</v>
      </c>
      <c r="J73" s="270">
        <v>1917500</v>
      </c>
      <c r="K73" s="220"/>
      <c r="L73" s="163" t="s">
        <v>101</v>
      </c>
      <c r="M73" s="164">
        <v>820000</v>
      </c>
    </row>
    <row r="74" spans="1:13" s="33" customFormat="1" ht="15" customHeight="1" thickBot="1">
      <c r="A74" s="67">
        <v>65</v>
      </c>
      <c r="B74" s="185">
        <v>10212</v>
      </c>
      <c r="C74" s="185">
        <v>2687</v>
      </c>
      <c r="D74" s="186">
        <v>45883</v>
      </c>
      <c r="E74" s="187">
        <v>1486800</v>
      </c>
      <c r="F74" s="185" t="s">
        <v>78</v>
      </c>
      <c r="G74" s="188">
        <v>125360580511</v>
      </c>
      <c r="I74" s="271" t="s">
        <v>49</v>
      </c>
      <c r="J74" s="272">
        <f>SUM(J67:J73)</f>
        <v>6976100</v>
      </c>
      <c r="K74" s="221"/>
      <c r="L74" s="165" t="s">
        <v>49</v>
      </c>
      <c r="M74" s="166">
        <f>SUM(M68:M73)</f>
        <v>9698320</v>
      </c>
    </row>
    <row r="75" spans="1:13" s="33" customFormat="1" ht="13.8">
      <c r="A75" s="67">
        <v>66</v>
      </c>
      <c r="B75" s="185">
        <v>10165</v>
      </c>
      <c r="C75" s="185">
        <v>2679</v>
      </c>
      <c r="D75" s="186">
        <v>45883</v>
      </c>
      <c r="E75" s="187">
        <v>1640200</v>
      </c>
      <c r="F75" s="185" t="s">
        <v>22</v>
      </c>
      <c r="G75" s="188">
        <v>125361019585</v>
      </c>
    </row>
    <row r="76" spans="1:13" s="33" customFormat="1">
      <c r="A76" s="67">
        <v>67</v>
      </c>
      <c r="B76" s="185">
        <v>10231</v>
      </c>
      <c r="C76" s="185">
        <v>2671</v>
      </c>
      <c r="D76" s="186">
        <v>45883</v>
      </c>
      <c r="E76" s="187">
        <v>525100</v>
      </c>
      <c r="F76" s="185" t="s">
        <v>34</v>
      </c>
      <c r="G76" s="188">
        <v>125360961787</v>
      </c>
      <c r="I76" s="106" t="s">
        <v>102</v>
      </c>
      <c r="J76" s="107" t="s">
        <v>8</v>
      </c>
      <c r="K76" s="107"/>
      <c r="L76" s="244" t="s">
        <v>103</v>
      </c>
      <c r="M76" s="245" t="s">
        <v>8</v>
      </c>
    </row>
    <row r="77" spans="1:13" s="33" customFormat="1">
      <c r="A77" s="99">
        <v>68</v>
      </c>
      <c r="B77" s="100">
        <v>8655</v>
      </c>
      <c r="C77" s="100">
        <v>2210</v>
      </c>
      <c r="D77" s="101">
        <v>45883</v>
      </c>
      <c r="E77" s="102">
        <v>932200</v>
      </c>
      <c r="F77" s="100" t="s">
        <v>104</v>
      </c>
      <c r="G77" s="103">
        <v>125359797601</v>
      </c>
      <c r="I77" s="54" t="s">
        <v>105</v>
      </c>
      <c r="J77" s="104">
        <v>412500</v>
      </c>
      <c r="K77" s="104"/>
      <c r="L77" s="242" t="s">
        <v>106</v>
      </c>
      <c r="M77" s="243">
        <v>1404200</v>
      </c>
    </row>
    <row r="78" spans="1:13" s="33" customFormat="1">
      <c r="A78" s="4">
        <v>69</v>
      </c>
      <c r="B78" s="30">
        <v>10164</v>
      </c>
      <c r="C78" s="13">
        <v>2686</v>
      </c>
      <c r="D78" s="11">
        <v>45883</v>
      </c>
      <c r="E78" s="69">
        <v>4767200</v>
      </c>
      <c r="F78" s="13" t="s">
        <v>19</v>
      </c>
      <c r="G78" s="46">
        <v>12536055915</v>
      </c>
      <c r="I78" s="189" t="s">
        <v>107</v>
      </c>
      <c r="J78" s="190">
        <v>767000</v>
      </c>
      <c r="K78" s="190"/>
      <c r="L78" s="242" t="s">
        <v>108</v>
      </c>
      <c r="M78" s="243">
        <v>2832000</v>
      </c>
    </row>
    <row r="79" spans="1:13" s="33" customFormat="1">
      <c r="A79" s="105">
        <v>70</v>
      </c>
      <c r="B79" s="176">
        <v>9550</v>
      </c>
      <c r="C79" s="176">
        <v>2457</v>
      </c>
      <c r="D79" s="177">
        <v>45883</v>
      </c>
      <c r="E79" s="178">
        <v>418900</v>
      </c>
      <c r="F79" s="176" t="s">
        <v>14</v>
      </c>
      <c r="G79" s="179">
        <v>125359812559</v>
      </c>
      <c r="I79" s="189" t="s">
        <v>109</v>
      </c>
      <c r="J79" s="190">
        <v>4878828</v>
      </c>
      <c r="K79" s="190"/>
      <c r="L79" s="242" t="s">
        <v>110</v>
      </c>
      <c r="M79" s="243">
        <v>525100</v>
      </c>
    </row>
    <row r="80" spans="1:13" s="33" customFormat="1">
      <c r="A80" s="99">
        <v>71</v>
      </c>
      <c r="B80" s="100">
        <v>10369</v>
      </c>
      <c r="C80" s="100">
        <v>5307</v>
      </c>
      <c r="D80" s="101">
        <v>45895</v>
      </c>
      <c r="E80" s="102">
        <v>236000</v>
      </c>
      <c r="F80" s="100" t="s">
        <v>42</v>
      </c>
      <c r="G80" s="103">
        <v>125599363309</v>
      </c>
      <c r="I80" s="189" t="s">
        <v>111</v>
      </c>
      <c r="J80" s="190">
        <v>1486800</v>
      </c>
      <c r="K80" s="190"/>
      <c r="L80" s="242" t="s">
        <v>112</v>
      </c>
      <c r="M80" s="243">
        <v>960725</v>
      </c>
    </row>
    <row r="81" spans="1:15" s="33" customFormat="1">
      <c r="A81" s="105">
        <v>72</v>
      </c>
      <c r="B81" s="176">
        <v>10309</v>
      </c>
      <c r="C81" s="176">
        <v>22369</v>
      </c>
      <c r="D81" s="177">
        <v>45895</v>
      </c>
      <c r="E81" s="178">
        <v>1056100</v>
      </c>
      <c r="F81" s="176" t="s">
        <v>113</v>
      </c>
      <c r="G81" s="179">
        <v>125599477204</v>
      </c>
      <c r="I81" s="189" t="s">
        <v>114</v>
      </c>
      <c r="J81" s="190">
        <v>4177200</v>
      </c>
      <c r="K81" s="190"/>
      <c r="L81" s="242" t="s">
        <v>115</v>
      </c>
      <c r="M81" s="243">
        <v>330400</v>
      </c>
    </row>
    <row r="82" spans="1:15" s="33" customFormat="1">
      <c r="A82" s="99">
        <v>73</v>
      </c>
      <c r="B82" s="100">
        <v>10354</v>
      </c>
      <c r="C82" s="100">
        <v>2520</v>
      </c>
      <c r="D82" s="101">
        <v>45895</v>
      </c>
      <c r="E82" s="102">
        <v>271400</v>
      </c>
      <c r="F82" s="100" t="s">
        <v>42</v>
      </c>
      <c r="G82" s="103">
        <v>125598998098</v>
      </c>
      <c r="I82" s="189" t="s">
        <v>116</v>
      </c>
      <c r="J82" s="190">
        <v>525100</v>
      </c>
      <c r="K82" s="190"/>
      <c r="L82" s="242" t="s">
        <v>117</v>
      </c>
      <c r="M82" s="243">
        <v>1593000</v>
      </c>
    </row>
    <row r="83" spans="1:15" s="33" customFormat="1">
      <c r="A83" s="105">
        <v>74</v>
      </c>
      <c r="B83" s="176">
        <v>10332</v>
      </c>
      <c r="C83" s="176">
        <v>2699</v>
      </c>
      <c r="D83" s="177">
        <v>45895</v>
      </c>
      <c r="E83" s="178">
        <v>418900</v>
      </c>
      <c r="F83" s="176" t="s">
        <v>18</v>
      </c>
      <c r="G83" s="179">
        <v>125599106755</v>
      </c>
      <c r="I83" s="54" t="s">
        <v>118</v>
      </c>
      <c r="J83" s="104">
        <v>2789520</v>
      </c>
      <c r="K83" s="104"/>
      <c r="L83" s="246" t="s">
        <v>49</v>
      </c>
      <c r="M83" s="245">
        <f>(((SUM(M77:M82))*-1)*-1)*1</f>
        <v>7645425</v>
      </c>
    </row>
    <row r="84" spans="1:15" s="33" customFormat="1">
      <c r="A84" s="108">
        <v>75</v>
      </c>
      <c r="B84" s="226">
        <v>10313</v>
      </c>
      <c r="C84" s="226">
        <v>2701</v>
      </c>
      <c r="D84" s="227">
        <v>45895</v>
      </c>
      <c r="E84" s="228">
        <v>14691000</v>
      </c>
      <c r="F84" s="226" t="s">
        <v>19</v>
      </c>
      <c r="G84" s="233">
        <v>125599017484</v>
      </c>
      <c r="I84" s="189" t="s">
        <v>119</v>
      </c>
      <c r="J84" s="190">
        <v>783725</v>
      </c>
      <c r="K84" s="222"/>
    </row>
    <row r="85" spans="1:15" s="33" customFormat="1">
      <c r="A85" s="105">
        <v>76</v>
      </c>
      <c r="B85" s="176">
        <v>10031</v>
      </c>
      <c r="C85" s="176">
        <v>2698</v>
      </c>
      <c r="D85" s="177">
        <v>45895</v>
      </c>
      <c r="E85" s="178">
        <v>767000</v>
      </c>
      <c r="F85" s="176" t="s">
        <v>23</v>
      </c>
      <c r="G85" s="179">
        <v>125599090906</v>
      </c>
      <c r="I85" s="189" t="s">
        <v>120</v>
      </c>
      <c r="J85" s="190">
        <v>1121000</v>
      </c>
      <c r="K85" s="190"/>
      <c r="O85" s="54"/>
    </row>
    <row r="86" spans="1:15" s="33" customFormat="1">
      <c r="A86" s="105">
        <v>77</v>
      </c>
      <c r="B86" s="176">
        <v>10293</v>
      </c>
      <c r="C86" s="176">
        <v>2714</v>
      </c>
      <c r="D86" s="177">
        <v>45899</v>
      </c>
      <c r="E86" s="178">
        <v>525100</v>
      </c>
      <c r="F86" s="176" t="s">
        <v>60</v>
      </c>
      <c r="G86" s="179">
        <v>125632844281</v>
      </c>
      <c r="I86" s="54" t="s">
        <v>122</v>
      </c>
      <c r="J86" s="104">
        <v>6983240</v>
      </c>
      <c r="K86" s="104"/>
    </row>
    <row r="87" spans="1:15" s="33" customFormat="1">
      <c r="A87" s="105">
        <v>78</v>
      </c>
      <c r="B87" s="176">
        <v>10421</v>
      </c>
      <c r="C87" s="176">
        <v>2722</v>
      </c>
      <c r="D87" s="177">
        <v>45905</v>
      </c>
      <c r="E87" s="178">
        <v>784700</v>
      </c>
      <c r="F87" s="176" t="s">
        <v>37</v>
      </c>
      <c r="G87" s="179">
        <v>125685550963</v>
      </c>
      <c r="I87" s="189" t="s">
        <v>124</v>
      </c>
      <c r="J87" s="190">
        <v>1640200</v>
      </c>
      <c r="K87" s="190"/>
    </row>
    <row r="88" spans="1:15" s="33" customFormat="1">
      <c r="A88" s="92">
        <v>79</v>
      </c>
      <c r="B88" s="29">
        <v>10440</v>
      </c>
      <c r="C88" s="29">
        <v>2717</v>
      </c>
      <c r="D88" s="160">
        <v>45905</v>
      </c>
      <c r="E88" s="161">
        <v>1705100</v>
      </c>
      <c r="F88" s="29" t="s">
        <v>26</v>
      </c>
      <c r="G88" s="162">
        <v>125685608149</v>
      </c>
      <c r="I88" s="109" t="s">
        <v>49</v>
      </c>
      <c r="J88" s="107">
        <f>SUM(J77:J87)</f>
        <v>25565113</v>
      </c>
      <c r="K88" s="107"/>
    </row>
    <row r="89" spans="1:15" s="33" customFormat="1" ht="13.8">
      <c r="A89" s="105">
        <v>80</v>
      </c>
      <c r="B89" s="176">
        <v>10393</v>
      </c>
      <c r="C89" s="176">
        <v>2723</v>
      </c>
      <c r="D89" s="177">
        <v>45905</v>
      </c>
      <c r="E89" s="178">
        <v>867300</v>
      </c>
      <c r="F89" s="176" t="s">
        <v>127</v>
      </c>
      <c r="G89" s="179">
        <v>125685722467</v>
      </c>
    </row>
    <row r="90" spans="1:15" s="33" customFormat="1">
      <c r="A90" s="110">
        <v>81</v>
      </c>
      <c r="B90" s="111">
        <v>10431</v>
      </c>
      <c r="C90" s="111">
        <v>2720</v>
      </c>
      <c r="D90" s="112">
        <v>45905</v>
      </c>
      <c r="E90" s="113">
        <v>430700</v>
      </c>
      <c r="F90" s="111" t="s">
        <v>60</v>
      </c>
      <c r="G90" s="114">
        <v>125685797734</v>
      </c>
      <c r="I90" s="256" t="s">
        <v>31</v>
      </c>
      <c r="J90" s="257" t="s">
        <v>8</v>
      </c>
      <c r="K90" s="115"/>
    </row>
    <row r="91" spans="1:15" s="33" customFormat="1">
      <c r="A91" s="4">
        <v>82</v>
      </c>
      <c r="B91" s="29">
        <v>10447</v>
      </c>
      <c r="C91" s="13">
        <v>2716</v>
      </c>
      <c r="D91" s="11">
        <v>45905</v>
      </c>
      <c r="E91" s="69">
        <v>1528100</v>
      </c>
      <c r="F91" s="13" t="s">
        <v>130</v>
      </c>
      <c r="G91" s="46">
        <v>125685966745</v>
      </c>
      <c r="I91" s="258" t="s">
        <v>131</v>
      </c>
      <c r="J91" s="259">
        <v>2147600</v>
      </c>
      <c r="K91" s="116"/>
    </row>
    <row r="92" spans="1:15" s="33" customFormat="1">
      <c r="A92" s="105">
        <v>83</v>
      </c>
      <c r="B92" s="176">
        <v>10427</v>
      </c>
      <c r="C92" s="176">
        <v>2721</v>
      </c>
      <c r="D92" s="177">
        <v>45905</v>
      </c>
      <c r="E92" s="178">
        <v>2560200</v>
      </c>
      <c r="F92" s="176" t="s">
        <v>51</v>
      </c>
      <c r="G92" s="179">
        <v>125685898156</v>
      </c>
      <c r="I92" s="260" t="s">
        <v>49</v>
      </c>
      <c r="J92" s="261">
        <f>SUBTOTAL(109,Table17[Amount])</f>
        <v>2147600</v>
      </c>
      <c r="K92" s="117"/>
    </row>
    <row r="93" spans="1:15" s="33" customFormat="1" ht="13.8">
      <c r="A93" s="118">
        <v>84</v>
      </c>
      <c r="B93" s="143">
        <v>10437</v>
      </c>
      <c r="C93" s="143">
        <v>2718</v>
      </c>
      <c r="D93" s="144">
        <v>45905</v>
      </c>
      <c r="E93" s="145">
        <v>2023700</v>
      </c>
      <c r="F93" s="143" t="s">
        <v>134</v>
      </c>
      <c r="G93" s="184">
        <v>125686018504</v>
      </c>
    </row>
    <row r="94" spans="1:15" s="33" customFormat="1">
      <c r="A94" s="99">
        <v>85</v>
      </c>
      <c r="B94" s="100">
        <v>10432</v>
      </c>
      <c r="C94" s="100">
        <v>2719</v>
      </c>
      <c r="D94" s="101">
        <v>45905</v>
      </c>
      <c r="E94" s="102">
        <v>649000</v>
      </c>
      <c r="F94" s="100" t="s">
        <v>130</v>
      </c>
      <c r="G94" s="103">
        <v>125685998506</v>
      </c>
      <c r="I94" s="119" t="s">
        <v>31</v>
      </c>
      <c r="J94" s="120" t="s">
        <v>8</v>
      </c>
      <c r="K94" s="120"/>
    </row>
    <row r="95" spans="1:15" s="33" customFormat="1">
      <c r="A95" s="121">
        <v>86</v>
      </c>
      <c r="B95" s="265">
        <v>10442</v>
      </c>
      <c r="C95" s="265">
        <v>2716</v>
      </c>
      <c r="D95" s="266">
        <v>45905</v>
      </c>
      <c r="E95" s="267">
        <v>1917500</v>
      </c>
      <c r="F95" s="265" t="s">
        <v>97</v>
      </c>
      <c r="G95" s="268">
        <v>125686037953</v>
      </c>
      <c r="I95" s="234" t="s">
        <v>137</v>
      </c>
      <c r="J95" s="235">
        <v>2088600</v>
      </c>
      <c r="K95" s="122"/>
    </row>
    <row r="96" spans="1:15" s="33" customFormat="1">
      <c r="A96" s="4">
        <v>87</v>
      </c>
      <c r="B96" s="29">
        <v>10504</v>
      </c>
      <c r="C96" s="13">
        <v>2516</v>
      </c>
      <c r="D96" s="11">
        <v>45911</v>
      </c>
      <c r="E96" s="69">
        <v>2088600</v>
      </c>
      <c r="F96" s="13" t="s">
        <v>139</v>
      </c>
      <c r="G96" s="46">
        <v>125746406182</v>
      </c>
      <c r="I96" s="234" t="s">
        <v>140</v>
      </c>
      <c r="J96" s="235">
        <v>14691000</v>
      </c>
      <c r="K96" s="122"/>
    </row>
    <row r="97" spans="1:11" s="33" customFormat="1">
      <c r="A97" s="108">
        <v>88</v>
      </c>
      <c r="B97" s="226">
        <v>10531</v>
      </c>
      <c r="C97" s="226">
        <v>2518</v>
      </c>
      <c r="D97" s="227">
        <v>45917</v>
      </c>
      <c r="E97" s="228">
        <v>2088600</v>
      </c>
      <c r="F97" s="226" t="s">
        <v>139</v>
      </c>
      <c r="G97" s="233">
        <v>125835495778</v>
      </c>
      <c r="I97" s="234" t="s">
        <v>142</v>
      </c>
      <c r="J97" s="235">
        <v>1191800</v>
      </c>
      <c r="K97" s="122"/>
    </row>
    <row r="98" spans="1:11" s="33" customFormat="1">
      <c r="A98" s="123">
        <v>89</v>
      </c>
      <c r="B98" s="30">
        <v>10217</v>
      </c>
      <c r="C98" s="30">
        <v>22364</v>
      </c>
      <c r="D98" s="262">
        <v>45925</v>
      </c>
      <c r="E98" s="263">
        <v>2147600</v>
      </c>
      <c r="F98" s="30" t="s">
        <v>144</v>
      </c>
      <c r="G98" s="264">
        <v>125928847756</v>
      </c>
      <c r="I98" s="52" t="s">
        <v>145</v>
      </c>
      <c r="J98" s="77">
        <v>194700</v>
      </c>
      <c r="K98" s="77"/>
    </row>
    <row r="99" spans="1:11" s="33" customFormat="1">
      <c r="A99" s="67">
        <v>90</v>
      </c>
      <c r="B99" s="185">
        <v>10378</v>
      </c>
      <c r="C99" s="185">
        <v>22524</v>
      </c>
      <c r="D99" s="186">
        <v>45925</v>
      </c>
      <c r="E99" s="187">
        <v>1121000</v>
      </c>
      <c r="F99" s="185" t="s">
        <v>147</v>
      </c>
      <c r="G99" s="188">
        <v>125928891595</v>
      </c>
      <c r="I99" s="236" t="s">
        <v>49</v>
      </c>
      <c r="J99" s="237">
        <f>SUBTOTAL(109,Table18[Amount])</f>
        <v>18166100</v>
      </c>
      <c r="K99" s="124"/>
    </row>
    <row r="100" spans="1:11" s="33" customFormat="1" ht="13.8">
      <c r="A100" s="67">
        <v>91</v>
      </c>
      <c r="B100" s="185">
        <v>10365</v>
      </c>
      <c r="C100" s="185">
        <v>22525</v>
      </c>
      <c r="D100" s="186">
        <v>45925</v>
      </c>
      <c r="E100" s="187">
        <v>4878828</v>
      </c>
      <c r="F100" s="185" t="s">
        <v>34</v>
      </c>
      <c r="G100" s="188">
        <v>125928867448</v>
      </c>
    </row>
    <row r="101" spans="1:11" s="33" customFormat="1">
      <c r="A101" s="108">
        <v>92</v>
      </c>
      <c r="B101" s="226">
        <v>10192</v>
      </c>
      <c r="C101" s="226">
        <v>22361</v>
      </c>
      <c r="D101" s="227">
        <v>45926</v>
      </c>
      <c r="E101" s="228">
        <v>1191800</v>
      </c>
      <c r="F101" s="226" t="s">
        <v>19</v>
      </c>
      <c r="G101" s="233">
        <v>125938420417</v>
      </c>
      <c r="I101" s="125" t="s">
        <v>31</v>
      </c>
      <c r="J101" s="126" t="s">
        <v>8</v>
      </c>
      <c r="K101" s="126"/>
    </row>
    <row r="102" spans="1:11" s="33" customFormat="1">
      <c r="A102" s="67">
        <v>93</v>
      </c>
      <c r="B102" s="185">
        <v>10252</v>
      </c>
      <c r="C102" s="185">
        <v>22363</v>
      </c>
      <c r="D102" s="186">
        <v>45926</v>
      </c>
      <c r="E102" s="187">
        <v>767000</v>
      </c>
      <c r="F102" s="185" t="s">
        <v>56</v>
      </c>
      <c r="G102" s="188">
        <v>125938448695</v>
      </c>
      <c r="I102" s="52" t="s">
        <v>151</v>
      </c>
      <c r="J102" s="77">
        <v>4212600</v>
      </c>
      <c r="K102" s="77"/>
    </row>
    <row r="103" spans="1:11" s="33" customFormat="1">
      <c r="A103" s="121">
        <v>96</v>
      </c>
      <c r="B103" s="265">
        <v>10308</v>
      </c>
      <c r="C103" s="265">
        <v>2771</v>
      </c>
      <c r="D103" s="266">
        <v>45981</v>
      </c>
      <c r="E103" s="267">
        <v>2242000</v>
      </c>
      <c r="F103" s="265" t="s">
        <v>30</v>
      </c>
      <c r="G103" s="273">
        <v>1251562321882</v>
      </c>
      <c r="I103" s="127" t="s">
        <v>49</v>
      </c>
      <c r="J103" s="128">
        <f>SUBTOTAL(109,J102)</f>
        <v>4212600</v>
      </c>
      <c r="K103" s="128"/>
    </row>
    <row r="104" spans="1:11" s="33" customFormat="1" ht="13.8">
      <c r="A104" s="4">
        <v>103</v>
      </c>
      <c r="B104" s="29">
        <v>10995</v>
      </c>
      <c r="C104" s="13">
        <v>2835</v>
      </c>
      <c r="D104" s="11">
        <v>45997</v>
      </c>
      <c r="E104" s="69">
        <v>2914600</v>
      </c>
      <c r="F104" s="13" t="s">
        <v>18</v>
      </c>
      <c r="G104" s="49">
        <v>1251723695653</v>
      </c>
    </row>
    <row r="105" spans="1:11" s="33" customFormat="1" ht="13.8">
      <c r="A105" s="121">
        <v>117</v>
      </c>
      <c r="B105" s="265">
        <v>11136</v>
      </c>
      <c r="C105" s="265">
        <v>2774</v>
      </c>
      <c r="D105" s="266">
        <v>46003</v>
      </c>
      <c r="E105" s="267">
        <v>1534000</v>
      </c>
      <c r="F105" s="265" t="s">
        <v>29</v>
      </c>
      <c r="G105" s="273">
        <v>1251829129798</v>
      </c>
    </row>
    <row r="106" spans="1:11" s="33" customFormat="1" ht="13.8" customHeight="1">
      <c r="A106" s="68">
        <v>120</v>
      </c>
      <c r="B106" s="146">
        <v>10668</v>
      </c>
      <c r="C106" s="146">
        <v>2855</v>
      </c>
      <c r="D106" s="147">
        <v>46042</v>
      </c>
      <c r="E106" s="148">
        <v>3416100</v>
      </c>
      <c r="F106" s="146" t="s">
        <v>37</v>
      </c>
      <c r="G106" s="149">
        <v>1252220997403</v>
      </c>
      <c r="I106" s="83" t="s">
        <v>31</v>
      </c>
      <c r="J106" s="84" t="s">
        <v>8</v>
      </c>
      <c r="K106" s="223"/>
    </row>
    <row r="107" spans="1:11" s="33" customFormat="1" ht="13.8" customHeight="1">
      <c r="A107" s="68">
        <v>121</v>
      </c>
      <c r="B107" s="146">
        <v>10552</v>
      </c>
      <c r="C107" s="146">
        <v>2814</v>
      </c>
      <c r="D107" s="147">
        <v>46042</v>
      </c>
      <c r="E107" s="148">
        <v>991200</v>
      </c>
      <c r="F107" s="146" t="s">
        <v>147</v>
      </c>
      <c r="G107" s="149">
        <v>1252220986333</v>
      </c>
      <c r="I107" s="150" t="s">
        <v>62</v>
      </c>
      <c r="J107" s="151">
        <v>395300</v>
      </c>
      <c r="K107" s="224"/>
    </row>
    <row r="108" spans="1:11" s="33" customFormat="1" ht="13.8" customHeight="1">
      <c r="A108" s="68">
        <v>122</v>
      </c>
      <c r="B108" s="146">
        <v>10363</v>
      </c>
      <c r="C108" s="146">
        <v>2734</v>
      </c>
      <c r="D108" s="147">
        <v>46042</v>
      </c>
      <c r="E108" s="148">
        <v>3167120</v>
      </c>
      <c r="F108" s="146" t="s">
        <v>78</v>
      </c>
      <c r="G108" s="149">
        <v>1252220901436</v>
      </c>
      <c r="I108" s="150" t="s">
        <v>63</v>
      </c>
      <c r="J108" s="151">
        <v>1209500</v>
      </c>
      <c r="K108" s="224"/>
    </row>
    <row r="109" spans="1:11" s="33" customFormat="1" ht="13.8" customHeight="1">
      <c r="A109" s="68">
        <v>124</v>
      </c>
      <c r="B109" s="146">
        <v>10559</v>
      </c>
      <c r="C109" s="146">
        <v>2815</v>
      </c>
      <c r="D109" s="147">
        <v>46042</v>
      </c>
      <c r="E109" s="148">
        <v>2124000</v>
      </c>
      <c r="F109" s="146" t="s">
        <v>24</v>
      </c>
      <c r="G109" s="149">
        <v>1252220879872</v>
      </c>
      <c r="I109" s="150" t="s">
        <v>64</v>
      </c>
      <c r="J109" s="151">
        <v>3481000</v>
      </c>
      <c r="K109" s="224"/>
    </row>
    <row r="110" spans="1:11" s="33" customFormat="1" ht="13.8" customHeight="1">
      <c r="A110" s="4">
        <v>126</v>
      </c>
      <c r="B110" s="29">
        <v>11027</v>
      </c>
      <c r="C110" s="13">
        <v>2969</v>
      </c>
      <c r="D110" s="11">
        <v>46042</v>
      </c>
      <c r="E110" s="69">
        <v>1180000</v>
      </c>
      <c r="F110" s="13" t="s">
        <v>51</v>
      </c>
      <c r="G110" s="49">
        <v>1252223781823</v>
      </c>
      <c r="I110" s="150" t="s">
        <v>66</v>
      </c>
      <c r="J110" s="151">
        <v>3416100</v>
      </c>
      <c r="K110" s="224"/>
    </row>
    <row r="111" spans="1:11" s="33" customFormat="1" ht="13.8" customHeight="1">
      <c r="A111" s="68">
        <v>127</v>
      </c>
      <c r="B111" s="146">
        <v>11114</v>
      </c>
      <c r="C111" s="146">
        <v>2961</v>
      </c>
      <c r="D111" s="147">
        <v>46044</v>
      </c>
      <c r="E111" s="148">
        <v>767000</v>
      </c>
      <c r="F111" s="146" t="s">
        <v>24</v>
      </c>
      <c r="G111" s="149">
        <v>1252238925421</v>
      </c>
      <c r="I111" s="150" t="s">
        <v>68</v>
      </c>
      <c r="J111" s="151">
        <v>767000</v>
      </c>
      <c r="K111" s="224"/>
    </row>
    <row r="112" spans="1:11" s="33" customFormat="1" ht="13.8" customHeight="1">
      <c r="A112" s="68">
        <v>128</v>
      </c>
      <c r="B112" s="146">
        <v>11198</v>
      </c>
      <c r="C112" s="146">
        <v>2960</v>
      </c>
      <c r="D112" s="147">
        <v>46044</v>
      </c>
      <c r="E112" s="148">
        <v>672600</v>
      </c>
      <c r="F112" s="146" t="s">
        <v>147</v>
      </c>
      <c r="G112" s="149">
        <v>1252240149907</v>
      </c>
      <c r="I112" s="150" t="s">
        <v>70</v>
      </c>
      <c r="J112" s="151">
        <v>4078080</v>
      </c>
      <c r="K112" s="224"/>
    </row>
    <row r="113" spans="1:11" s="33" customFormat="1" ht="13.8" customHeight="1">
      <c r="A113" s="68">
        <v>129</v>
      </c>
      <c r="B113" s="146">
        <v>11105</v>
      </c>
      <c r="C113" s="146">
        <v>2962</v>
      </c>
      <c r="D113" s="147">
        <v>46044</v>
      </c>
      <c r="E113" s="148">
        <v>507400</v>
      </c>
      <c r="F113" s="146" t="s">
        <v>34</v>
      </c>
      <c r="G113" s="149">
        <v>1252240158439</v>
      </c>
      <c r="I113" s="150" t="s">
        <v>73</v>
      </c>
      <c r="J113" s="151">
        <v>2124000</v>
      </c>
      <c r="K113" s="224"/>
    </row>
    <row r="114" spans="1:11" s="33" customFormat="1" ht="13.8" customHeight="1">
      <c r="A114" s="68">
        <v>130</v>
      </c>
      <c r="B114" s="146">
        <v>11395</v>
      </c>
      <c r="C114" s="146">
        <v>2942</v>
      </c>
      <c r="D114" s="147">
        <v>46049</v>
      </c>
      <c r="E114" s="148">
        <v>4078080</v>
      </c>
      <c r="F114" s="146" t="s">
        <v>24</v>
      </c>
      <c r="G114" s="149">
        <v>1252277139862</v>
      </c>
      <c r="I114" s="150" t="s">
        <v>75</v>
      </c>
      <c r="J114" s="151">
        <v>3167120</v>
      </c>
      <c r="K114" s="224"/>
    </row>
    <row r="115" spans="1:11" s="33" customFormat="1" ht="13.8" customHeight="1">
      <c r="A115" s="68">
        <v>131</v>
      </c>
      <c r="B115" s="146">
        <v>11463</v>
      </c>
      <c r="C115" s="146">
        <v>2959</v>
      </c>
      <c r="D115" s="147">
        <v>46049</v>
      </c>
      <c r="E115" s="148">
        <v>3481000</v>
      </c>
      <c r="F115" s="146" t="s">
        <v>24</v>
      </c>
      <c r="G115" s="149">
        <v>1252277127352</v>
      </c>
      <c r="I115" s="150" t="s">
        <v>77</v>
      </c>
      <c r="J115" s="151">
        <v>991200</v>
      </c>
      <c r="K115" s="224"/>
    </row>
    <row r="116" spans="1:11" s="33" customFormat="1" ht="13.8" customHeight="1">
      <c r="A116" s="4">
        <v>132</v>
      </c>
      <c r="B116" s="29">
        <v>10159</v>
      </c>
      <c r="C116" s="229">
        <v>2781</v>
      </c>
      <c r="D116" s="230">
        <v>46071</v>
      </c>
      <c r="E116" s="231">
        <v>2301000</v>
      </c>
      <c r="F116" s="229" t="s">
        <v>21</v>
      </c>
      <c r="G116" s="232">
        <v>1252538505046</v>
      </c>
      <c r="I116" s="150" t="s">
        <v>79</v>
      </c>
      <c r="J116" s="151">
        <v>507400</v>
      </c>
      <c r="K116" s="224"/>
    </row>
    <row r="117" spans="1:11" s="33" customFormat="1" ht="13.8" customHeight="1">
      <c r="A117" s="4">
        <v>133</v>
      </c>
      <c r="B117" s="29">
        <v>11065</v>
      </c>
      <c r="C117" s="229">
        <v>2939</v>
      </c>
      <c r="D117" s="230">
        <v>46079</v>
      </c>
      <c r="E117" s="231">
        <v>472000</v>
      </c>
      <c r="F117" s="229" t="s">
        <v>154</v>
      </c>
      <c r="G117" s="232">
        <v>1252625459482</v>
      </c>
      <c r="I117" s="150" t="s">
        <v>80</v>
      </c>
      <c r="J117" s="151">
        <v>672600</v>
      </c>
      <c r="K117" s="224"/>
    </row>
    <row r="118" spans="1:11" s="33" customFormat="1" ht="13.8" customHeight="1">
      <c r="A118" s="4">
        <v>134</v>
      </c>
      <c r="B118" s="29">
        <v>10959</v>
      </c>
      <c r="C118" s="13">
        <v>2697</v>
      </c>
      <c r="D118" s="11">
        <v>46079</v>
      </c>
      <c r="E118" s="69">
        <v>719800</v>
      </c>
      <c r="F118" s="13" t="s">
        <v>144</v>
      </c>
      <c r="G118" s="49">
        <v>1252625483287</v>
      </c>
      <c r="I118" s="95" t="s">
        <v>49</v>
      </c>
      <c r="J118" s="96">
        <f>SUBTOTAL(109,Table1610[Amount])</f>
        <v>20809300</v>
      </c>
      <c r="K118" s="225"/>
    </row>
    <row r="119" spans="1:11" s="33" customFormat="1" ht="13.8" customHeight="1">
      <c r="A119" s="4">
        <v>135</v>
      </c>
      <c r="B119" s="29">
        <v>11860</v>
      </c>
      <c r="C119" s="13">
        <v>3005</v>
      </c>
      <c r="D119" s="11">
        <v>46098</v>
      </c>
      <c r="E119" s="69">
        <v>436600</v>
      </c>
      <c r="F119" s="13" t="s">
        <v>21</v>
      </c>
      <c r="G119" s="49">
        <v>1252838673937</v>
      </c>
    </row>
    <row r="120" spans="1:11" s="33" customFormat="1" ht="13.8" customHeight="1">
      <c r="A120" s="4">
        <v>136</v>
      </c>
      <c r="B120" s="29">
        <v>11614</v>
      </c>
      <c r="C120" s="13">
        <v>3037</v>
      </c>
      <c r="D120" s="11">
        <v>46098</v>
      </c>
      <c r="E120" s="69">
        <v>2124000</v>
      </c>
      <c r="F120" s="13" t="s">
        <v>155</v>
      </c>
      <c r="G120" s="49">
        <v>1252838686078</v>
      </c>
    </row>
    <row r="121" spans="1:11" s="33" customFormat="1" ht="13.8" customHeight="1">
      <c r="A121" s="4">
        <v>137</v>
      </c>
      <c r="B121" s="29">
        <v>11959</v>
      </c>
      <c r="C121" s="13">
        <v>3008</v>
      </c>
      <c r="D121" s="11">
        <v>46098</v>
      </c>
      <c r="E121" s="69">
        <v>1863220</v>
      </c>
      <c r="F121" s="13" t="s">
        <v>26</v>
      </c>
      <c r="G121" s="49">
        <v>1252838703493</v>
      </c>
    </row>
    <row r="122" spans="1:11" s="33" customFormat="1" ht="13.8" customHeight="1">
      <c r="A122" s="4">
        <v>138</v>
      </c>
      <c r="B122" s="29">
        <v>11865</v>
      </c>
      <c r="C122" s="13">
        <v>3004</v>
      </c>
      <c r="D122" s="11">
        <v>46098</v>
      </c>
      <c r="E122" s="69">
        <v>7115400</v>
      </c>
      <c r="F122" s="13" t="s">
        <v>37</v>
      </c>
      <c r="G122" s="49">
        <v>1252838713303</v>
      </c>
    </row>
    <row r="123" spans="1:11" s="33" customFormat="1" ht="13.8" customHeight="1">
      <c r="A123" s="4">
        <v>139</v>
      </c>
      <c r="B123" s="29">
        <v>11350</v>
      </c>
      <c r="C123" s="13">
        <v>3056</v>
      </c>
      <c r="D123" s="11">
        <v>46098</v>
      </c>
      <c r="E123" s="69">
        <v>1917500</v>
      </c>
      <c r="F123" s="13" t="s">
        <v>25</v>
      </c>
      <c r="G123" s="49">
        <v>1252838726137</v>
      </c>
    </row>
    <row r="124" spans="1:11" s="33" customFormat="1" ht="13.8" customHeight="1">
      <c r="A124" s="4">
        <v>140</v>
      </c>
      <c r="B124" s="29">
        <v>11407</v>
      </c>
      <c r="C124" s="13">
        <v>3051</v>
      </c>
      <c r="D124" s="11">
        <v>46098</v>
      </c>
      <c r="E124" s="69">
        <v>1510400</v>
      </c>
      <c r="F124" s="13" t="s">
        <v>26</v>
      </c>
      <c r="G124" s="49">
        <v>1252838735677</v>
      </c>
    </row>
    <row r="125" spans="1:11" s="33" customFormat="1" ht="13.8" customHeight="1">
      <c r="A125" s="4">
        <v>141</v>
      </c>
      <c r="B125" s="29">
        <v>11461</v>
      </c>
      <c r="C125" s="13">
        <v>3029</v>
      </c>
      <c r="D125" s="11">
        <v>46098</v>
      </c>
      <c r="E125" s="69">
        <v>1628400</v>
      </c>
      <c r="F125" s="13" t="s">
        <v>26</v>
      </c>
      <c r="G125" s="49">
        <v>1252838745082</v>
      </c>
    </row>
    <row r="126" spans="1:11" s="33" customFormat="1" ht="13.8" customHeight="1">
      <c r="A126" s="4">
        <v>142</v>
      </c>
      <c r="B126" s="29">
        <v>11473</v>
      </c>
      <c r="C126" s="13">
        <v>3021</v>
      </c>
      <c r="D126" s="11">
        <v>46098</v>
      </c>
      <c r="E126" s="69">
        <v>1003000</v>
      </c>
      <c r="F126" s="13" t="s">
        <v>24</v>
      </c>
      <c r="G126" s="49">
        <v>1252838761003</v>
      </c>
    </row>
    <row r="127" spans="1:11" s="33" customFormat="1" ht="13.8" customHeight="1">
      <c r="A127" s="4">
        <v>143</v>
      </c>
      <c r="B127" s="29">
        <v>11483</v>
      </c>
      <c r="C127" s="13">
        <v>3054</v>
      </c>
      <c r="D127" s="11">
        <v>46098</v>
      </c>
      <c r="E127" s="69">
        <v>1645628</v>
      </c>
      <c r="F127" s="13" t="s">
        <v>34</v>
      </c>
      <c r="G127" s="49">
        <v>1252838771911</v>
      </c>
    </row>
    <row r="128" spans="1:11" s="33" customFormat="1" ht="13.8" customHeight="1">
      <c r="A128" s="4">
        <v>144</v>
      </c>
      <c r="B128" s="29">
        <v>11466</v>
      </c>
      <c r="C128" s="13">
        <v>3023</v>
      </c>
      <c r="D128" s="11">
        <v>46098</v>
      </c>
      <c r="E128" s="69">
        <v>2377700</v>
      </c>
      <c r="F128" s="13" t="s">
        <v>16</v>
      </c>
      <c r="G128" s="49">
        <v>1252838794186</v>
      </c>
    </row>
    <row r="129" spans="1:11" s="33" customFormat="1" ht="13.8" customHeight="1">
      <c r="A129" s="4">
        <v>145</v>
      </c>
      <c r="B129" s="29">
        <v>11330</v>
      </c>
      <c r="C129" s="13">
        <v>3040</v>
      </c>
      <c r="D129" s="11">
        <v>46098</v>
      </c>
      <c r="E129" s="69">
        <v>460200</v>
      </c>
      <c r="F129" s="13" t="s">
        <v>130</v>
      </c>
      <c r="G129" s="49">
        <v>1252838816407</v>
      </c>
    </row>
    <row r="130" spans="1:11" s="33" customFormat="1" ht="13.8" customHeight="1">
      <c r="A130" s="4">
        <v>146</v>
      </c>
      <c r="B130" s="29">
        <v>11451</v>
      </c>
      <c r="C130" s="13">
        <v>3028</v>
      </c>
      <c r="D130" s="11">
        <v>46098</v>
      </c>
      <c r="E130" s="69">
        <v>418900</v>
      </c>
      <c r="F130" s="13" t="s">
        <v>156</v>
      </c>
      <c r="G130" s="49">
        <v>1252838826631</v>
      </c>
    </row>
    <row r="131" spans="1:11" s="33" customFormat="1" ht="13.8" customHeight="1">
      <c r="A131" s="4">
        <v>147</v>
      </c>
      <c r="B131" s="29">
        <v>11499</v>
      </c>
      <c r="C131" s="13">
        <v>3018</v>
      </c>
      <c r="D131" s="11">
        <v>46098</v>
      </c>
      <c r="E131" s="69">
        <v>3368900</v>
      </c>
      <c r="F131" s="13" t="s">
        <v>144</v>
      </c>
      <c r="G131" s="49">
        <v>1252838846647</v>
      </c>
    </row>
    <row r="132" spans="1:11" s="33" customFormat="1" ht="13.8" customHeight="1">
      <c r="A132" s="4">
        <v>148</v>
      </c>
      <c r="B132" s="29">
        <v>11486</v>
      </c>
      <c r="C132" s="13">
        <v>3019</v>
      </c>
      <c r="D132" s="11">
        <v>46098</v>
      </c>
      <c r="E132" s="69">
        <v>1239000</v>
      </c>
      <c r="F132" s="13" t="s">
        <v>147</v>
      </c>
      <c r="G132" s="49">
        <v>1252838870128</v>
      </c>
    </row>
    <row r="133" spans="1:11" s="33" customFormat="1" ht="13.8" customHeight="1">
      <c r="A133" s="4">
        <v>149</v>
      </c>
      <c r="B133" s="29">
        <v>11494</v>
      </c>
      <c r="C133" s="13">
        <v>3015</v>
      </c>
      <c r="D133" s="11">
        <v>46098</v>
      </c>
      <c r="E133" s="69">
        <v>994268</v>
      </c>
      <c r="F133" s="13" t="s">
        <v>20</v>
      </c>
      <c r="G133" s="49">
        <v>1252838886355</v>
      </c>
    </row>
    <row r="134" spans="1:11" s="33" customFormat="1" ht="13.8" customHeight="1">
      <c r="A134" s="4">
        <v>150</v>
      </c>
      <c r="B134" s="29">
        <v>11496</v>
      </c>
      <c r="C134" s="13">
        <v>3020</v>
      </c>
      <c r="D134" s="11">
        <v>46098</v>
      </c>
      <c r="E134" s="69">
        <v>666700</v>
      </c>
      <c r="F134" s="13" t="s">
        <v>56</v>
      </c>
      <c r="G134" s="49">
        <v>1252838909629</v>
      </c>
    </row>
    <row r="135" spans="1:11" s="33" customFormat="1" ht="16.8" customHeight="1">
      <c r="A135" s="4">
        <v>151</v>
      </c>
      <c r="B135" s="29">
        <v>11491</v>
      </c>
      <c r="C135" s="13">
        <v>3016</v>
      </c>
      <c r="D135" s="11">
        <v>46098</v>
      </c>
      <c r="E135" s="69">
        <v>1416000</v>
      </c>
      <c r="F135" s="13" t="s">
        <v>42</v>
      </c>
      <c r="G135" s="49">
        <v>1252838928664</v>
      </c>
      <c r="J135" s="26"/>
      <c r="K135" s="26"/>
    </row>
    <row r="136" spans="1:11" s="33" customFormat="1" ht="15" customHeight="1">
      <c r="A136" s="4">
        <v>152</v>
      </c>
      <c r="B136" s="29">
        <v>11422</v>
      </c>
      <c r="C136" s="13">
        <v>3050</v>
      </c>
      <c r="D136" s="11">
        <v>46098</v>
      </c>
      <c r="E136" s="69">
        <v>4967800</v>
      </c>
      <c r="F136" s="13" t="s">
        <v>42</v>
      </c>
      <c r="G136" s="49">
        <v>1252838956654</v>
      </c>
      <c r="J136" s="27"/>
      <c r="K136" s="27"/>
    </row>
    <row r="137" spans="1:11" s="33" customFormat="1" ht="13.8" customHeight="1">
      <c r="A137" s="4">
        <v>153</v>
      </c>
      <c r="B137" s="29">
        <v>11819</v>
      </c>
      <c r="C137" s="13">
        <v>3009</v>
      </c>
      <c r="D137" s="11">
        <v>46098</v>
      </c>
      <c r="E137" s="69">
        <v>389400</v>
      </c>
      <c r="F137" s="13" t="s">
        <v>157</v>
      </c>
      <c r="G137" s="49">
        <v>1252838971675</v>
      </c>
      <c r="J137" s="28"/>
      <c r="K137" s="28"/>
    </row>
    <row r="138" spans="1:11" s="33" customFormat="1" ht="13.8" customHeight="1">
      <c r="A138" s="4">
        <v>154</v>
      </c>
      <c r="B138" s="29">
        <v>11818</v>
      </c>
      <c r="C138" s="13">
        <v>3011</v>
      </c>
      <c r="D138" s="11">
        <v>46098</v>
      </c>
      <c r="E138" s="69">
        <v>1003000</v>
      </c>
      <c r="F138" s="13" t="s">
        <v>147</v>
      </c>
      <c r="G138" s="49">
        <v>1252838983744</v>
      </c>
    </row>
    <row r="139" spans="1:11" s="33" customFormat="1" ht="13.8" customHeight="1">
      <c r="A139" s="4">
        <v>155</v>
      </c>
      <c r="B139" s="29">
        <v>11813</v>
      </c>
      <c r="C139" s="13">
        <v>3010</v>
      </c>
      <c r="D139" s="11">
        <v>46098</v>
      </c>
      <c r="E139" s="69">
        <v>3858600</v>
      </c>
      <c r="F139" s="13" t="s">
        <v>130</v>
      </c>
      <c r="G139" s="49">
        <v>1252838997325</v>
      </c>
    </row>
    <row r="140" spans="1:11" s="33" customFormat="1" ht="13.8" customHeight="1">
      <c r="A140" s="4">
        <v>156</v>
      </c>
      <c r="B140" s="29">
        <v>11742</v>
      </c>
      <c r="C140" s="13">
        <v>3026</v>
      </c>
      <c r="D140" s="11">
        <v>46098</v>
      </c>
      <c r="E140" s="69">
        <v>3594280</v>
      </c>
      <c r="F140" s="13" t="s">
        <v>158</v>
      </c>
      <c r="G140" s="49">
        <v>1252838657206</v>
      </c>
    </row>
    <row r="141" spans="1:11" s="33" customFormat="1" ht="13.8" customHeight="1">
      <c r="A141" s="4">
        <v>157</v>
      </c>
      <c r="B141" s="29">
        <v>11731</v>
      </c>
      <c r="C141" s="13">
        <v>3068</v>
      </c>
      <c r="D141" s="11">
        <v>46107</v>
      </c>
      <c r="E141" s="69">
        <v>1994200</v>
      </c>
      <c r="F141" s="13" t="s">
        <v>29</v>
      </c>
      <c r="G141" s="49">
        <v>1252934870932</v>
      </c>
    </row>
    <row r="142" spans="1:11" s="33" customFormat="1" ht="13.8" customHeight="1">
      <c r="A142" s="4">
        <v>158</v>
      </c>
      <c r="B142" s="29">
        <v>10608</v>
      </c>
      <c r="C142" s="13">
        <v>2845</v>
      </c>
      <c r="D142" s="11">
        <v>46107</v>
      </c>
      <c r="E142" s="69">
        <v>1250800</v>
      </c>
      <c r="F142" s="13" t="s">
        <v>29</v>
      </c>
      <c r="G142" s="49">
        <v>1252934860159</v>
      </c>
    </row>
    <row r="143" spans="1:11" s="33" customFormat="1" ht="13.8" customHeight="1">
      <c r="A143" s="4">
        <v>159</v>
      </c>
      <c r="B143" s="29">
        <v>11907</v>
      </c>
      <c r="C143" s="13">
        <v>3093</v>
      </c>
      <c r="D143" s="11">
        <v>46108</v>
      </c>
      <c r="E143" s="69">
        <v>1811300</v>
      </c>
      <c r="F143" s="13" t="s">
        <v>155</v>
      </c>
      <c r="G143" s="49">
        <v>1252945228078</v>
      </c>
    </row>
    <row r="144" spans="1:11" s="33" customFormat="1" ht="13.8" customHeight="1">
      <c r="A144" s="4">
        <v>160</v>
      </c>
      <c r="B144" s="29">
        <v>11902</v>
      </c>
      <c r="C144" s="13">
        <v>3094</v>
      </c>
      <c r="D144" s="11">
        <v>46108</v>
      </c>
      <c r="E144" s="69">
        <v>973500</v>
      </c>
      <c r="F144" s="13" t="s">
        <v>16</v>
      </c>
      <c r="G144" s="49">
        <v>1252945178299</v>
      </c>
    </row>
    <row r="145" spans="1:7" s="33" customFormat="1" ht="13.8" customHeight="1">
      <c r="A145" s="4">
        <v>161</v>
      </c>
      <c r="B145" s="29">
        <v>11926</v>
      </c>
      <c r="C145" s="13">
        <v>3090</v>
      </c>
      <c r="D145" s="11">
        <v>46108</v>
      </c>
      <c r="E145" s="69">
        <v>418900</v>
      </c>
      <c r="F145" s="13" t="s">
        <v>42</v>
      </c>
      <c r="G145" s="49">
        <v>1252945150102</v>
      </c>
    </row>
    <row r="146" spans="1:7" s="33" customFormat="1" ht="13.8" customHeight="1">
      <c r="A146" s="4">
        <v>162</v>
      </c>
      <c r="B146" s="29">
        <v>11901</v>
      </c>
      <c r="C146" s="13">
        <v>3095</v>
      </c>
      <c r="D146" s="11">
        <v>46108</v>
      </c>
      <c r="E146" s="69">
        <v>3085700</v>
      </c>
      <c r="F146" s="13" t="s">
        <v>18</v>
      </c>
      <c r="G146" s="49">
        <v>1252945158283</v>
      </c>
    </row>
    <row r="147" spans="1:7" s="33" customFormat="1" ht="13.8" customHeight="1">
      <c r="A147" s="4">
        <v>163</v>
      </c>
      <c r="B147" s="29">
        <v>11914</v>
      </c>
      <c r="C147" s="13">
        <v>3092</v>
      </c>
      <c r="D147" s="11">
        <v>46108</v>
      </c>
      <c r="E147" s="69">
        <v>4476920</v>
      </c>
      <c r="F147" s="13" t="s">
        <v>104</v>
      </c>
      <c r="G147" s="49">
        <v>1252945196299</v>
      </c>
    </row>
    <row r="148" spans="1:7" s="33" customFormat="1" ht="13.8" customHeight="1">
      <c r="A148" s="4">
        <v>164</v>
      </c>
      <c r="B148" s="29">
        <v>11930</v>
      </c>
      <c r="C148" s="13">
        <v>3086</v>
      </c>
      <c r="D148" s="11">
        <v>46108</v>
      </c>
      <c r="E148" s="69">
        <v>1003000</v>
      </c>
      <c r="F148" s="13" t="s">
        <v>104</v>
      </c>
      <c r="G148" s="49">
        <v>1252945186156</v>
      </c>
    </row>
    <row r="149" spans="1:7" s="33" customFormat="1" ht="13.8" customHeight="1">
      <c r="A149" s="4">
        <v>165</v>
      </c>
      <c r="B149" s="29">
        <v>11514</v>
      </c>
      <c r="C149" s="13">
        <v>3087</v>
      </c>
      <c r="D149" s="11">
        <v>46108</v>
      </c>
      <c r="E149" s="69">
        <v>2224300</v>
      </c>
      <c r="F149" s="13" t="s">
        <v>51</v>
      </c>
      <c r="G149" s="49">
        <v>1252945218196</v>
      </c>
    </row>
    <row r="150" spans="1:7" s="33" customFormat="1" ht="13.8" customHeight="1">
      <c r="A150" s="4">
        <v>166</v>
      </c>
      <c r="B150" s="29">
        <v>11913</v>
      </c>
      <c r="C150" s="13">
        <v>3091</v>
      </c>
      <c r="D150" s="11">
        <v>46108</v>
      </c>
      <c r="E150" s="69">
        <v>808300</v>
      </c>
      <c r="F150" s="13" t="s">
        <v>14</v>
      </c>
      <c r="G150" s="49">
        <v>1252945209565</v>
      </c>
    </row>
    <row r="151" spans="1:7" s="33" customFormat="1" ht="13.8" customHeight="1">
      <c r="A151" s="4">
        <v>167</v>
      </c>
      <c r="B151" s="29">
        <v>11931</v>
      </c>
      <c r="C151" s="13">
        <v>3127</v>
      </c>
      <c r="D151" s="11">
        <v>46113</v>
      </c>
      <c r="E151" s="69">
        <v>1652000</v>
      </c>
      <c r="F151" s="13" t="s">
        <v>155</v>
      </c>
      <c r="G151" s="49">
        <v>1253010371959</v>
      </c>
    </row>
    <row r="152" spans="1:7" s="33" customFormat="1" ht="13.8" customHeight="1">
      <c r="A152" s="4"/>
      <c r="B152" s="29"/>
      <c r="C152" s="13"/>
      <c r="D152" s="11"/>
      <c r="E152" s="69"/>
      <c r="F152" s="13"/>
      <c r="G152" s="49"/>
    </row>
    <row r="153" spans="1:7" s="33" customFormat="1" ht="13.8" customHeight="1">
      <c r="A153" s="10"/>
      <c r="B153" s="13">
        <v>11900</v>
      </c>
      <c r="C153" s="13">
        <v>3038</v>
      </c>
      <c r="D153" s="11">
        <v>46108</v>
      </c>
      <c r="E153" s="69">
        <v>2749400</v>
      </c>
      <c r="F153" s="13" t="s">
        <v>155</v>
      </c>
      <c r="G153" s="49">
        <v>1252945266382</v>
      </c>
    </row>
    <row r="154" spans="1:7" s="33" customFormat="1" ht="13.8" customHeight="1">
      <c r="A154" s="10"/>
      <c r="B154" s="13">
        <v>10385</v>
      </c>
      <c r="C154" s="13">
        <v>2736</v>
      </c>
      <c r="D154" s="11">
        <v>46108</v>
      </c>
      <c r="E154" s="69">
        <v>3897000</v>
      </c>
      <c r="F154" s="13" t="s">
        <v>27</v>
      </c>
      <c r="G154" s="49">
        <v>1252945287883</v>
      </c>
    </row>
    <row r="155" spans="1:7" s="33" customFormat="1" ht="13.8" customHeight="1">
      <c r="A155" s="10"/>
      <c r="B155" s="13">
        <v>12073</v>
      </c>
      <c r="C155" s="13">
        <v>3149</v>
      </c>
      <c r="D155" s="11">
        <v>46129</v>
      </c>
      <c r="E155" s="69">
        <v>1355820</v>
      </c>
      <c r="F155" s="13" t="s">
        <v>24</v>
      </c>
      <c r="G155" s="49">
        <v>1253185434496</v>
      </c>
    </row>
    <row r="156" spans="1:7" s="33" customFormat="1" ht="13.8" customHeight="1">
      <c r="A156" s="10"/>
      <c r="B156" s="13">
        <v>12072</v>
      </c>
      <c r="C156" s="13">
        <v>3152</v>
      </c>
      <c r="D156" s="11">
        <v>46129</v>
      </c>
      <c r="E156" s="69">
        <v>3681600</v>
      </c>
      <c r="F156" s="13" t="s">
        <v>14</v>
      </c>
      <c r="G156" s="49">
        <v>1253185397326</v>
      </c>
    </row>
    <row r="157" spans="1:7" s="33" customFormat="1" ht="13.8" customHeight="1">
      <c r="A157" s="10"/>
      <c r="B157" s="13">
        <v>12135</v>
      </c>
      <c r="C157" s="13">
        <v>3147</v>
      </c>
      <c r="D157" s="11">
        <v>46129</v>
      </c>
      <c r="E157" s="69">
        <v>4978927</v>
      </c>
      <c r="F157" s="13" t="s">
        <v>37</v>
      </c>
      <c r="G157" s="49">
        <v>1253185227046</v>
      </c>
    </row>
    <row r="158" spans="1:7" s="33" customFormat="1" ht="13.8" customHeight="1">
      <c r="A158" s="10"/>
      <c r="B158" s="13">
        <v>12014</v>
      </c>
      <c r="C158" s="13">
        <v>3151</v>
      </c>
      <c r="D158" s="11">
        <v>46129</v>
      </c>
      <c r="E158" s="69">
        <v>418900</v>
      </c>
      <c r="F158" s="13" t="s">
        <v>14</v>
      </c>
      <c r="G158" s="49">
        <v>1253185421824</v>
      </c>
    </row>
    <row r="159" spans="1:7" s="33" customFormat="1" ht="13.8" customHeight="1">
      <c r="A159" s="10"/>
      <c r="B159" s="13">
        <v>11980</v>
      </c>
      <c r="C159" s="13">
        <v>3137</v>
      </c>
      <c r="D159" s="11">
        <v>46129</v>
      </c>
      <c r="E159" s="69">
        <v>2112200</v>
      </c>
      <c r="F159" s="13" t="s">
        <v>155</v>
      </c>
      <c r="G159" s="49">
        <v>1253185412689</v>
      </c>
    </row>
    <row r="160" spans="1:7" s="33" customFormat="1" ht="13.8" customHeight="1">
      <c r="A160" s="10"/>
      <c r="B160" s="13">
        <v>11544</v>
      </c>
      <c r="C160" s="13">
        <v>3161</v>
      </c>
      <c r="D160" s="11">
        <v>46136</v>
      </c>
      <c r="E160" s="69">
        <v>6662280</v>
      </c>
      <c r="F160" s="13" t="s">
        <v>159</v>
      </c>
      <c r="G160" s="49">
        <v>1253287555642</v>
      </c>
    </row>
    <row r="161" spans="1:7" s="33" customFormat="1" ht="13.8" customHeight="1">
      <c r="A161" s="10"/>
      <c r="B161" s="13">
        <v>12012</v>
      </c>
      <c r="C161" s="13">
        <v>3160</v>
      </c>
      <c r="D161" s="11">
        <v>46136</v>
      </c>
      <c r="E161" s="69">
        <v>5600280</v>
      </c>
      <c r="F161" s="13" t="s">
        <v>160</v>
      </c>
      <c r="G161" s="49">
        <v>1253287534483</v>
      </c>
    </row>
    <row r="162" spans="1:7" s="33" customFormat="1" ht="13.8" customHeight="1">
      <c r="A162" s="10"/>
      <c r="B162" s="13">
        <v>12136</v>
      </c>
      <c r="C162" s="13">
        <v>3169</v>
      </c>
      <c r="D162" s="11">
        <v>46147</v>
      </c>
      <c r="E162" s="69">
        <v>767000</v>
      </c>
      <c r="F162" s="13" t="s">
        <v>97</v>
      </c>
      <c r="G162" s="49">
        <v>1253433034819</v>
      </c>
    </row>
    <row r="163" spans="1:7" s="33" customFormat="1" ht="13.8" customHeight="1">
      <c r="A163" s="10"/>
      <c r="B163" s="13">
        <v>12183</v>
      </c>
      <c r="C163" s="13">
        <v>2736</v>
      </c>
      <c r="D163" s="11">
        <v>46147</v>
      </c>
      <c r="E163" s="69">
        <v>2832000</v>
      </c>
      <c r="F163" s="13" t="s">
        <v>27</v>
      </c>
      <c r="G163" s="49">
        <v>1253433109978</v>
      </c>
    </row>
    <row r="164" spans="1:7" s="33" customFormat="1" ht="13.8" customHeight="1">
      <c r="A164" s="10"/>
      <c r="B164" s="13">
        <v>11737</v>
      </c>
      <c r="C164" s="13">
        <v>3067</v>
      </c>
      <c r="D164" s="11">
        <v>46147</v>
      </c>
      <c r="E164" s="69">
        <v>767000</v>
      </c>
      <c r="F164" s="13" t="s">
        <v>155</v>
      </c>
      <c r="G164" s="49">
        <v>1253433068974</v>
      </c>
    </row>
    <row r="165" spans="1:7" s="33" customFormat="1" ht="13.8" customHeight="1">
      <c r="A165" s="10"/>
      <c r="B165" s="13"/>
      <c r="C165" s="13"/>
      <c r="D165" s="11"/>
      <c r="E165" s="69"/>
      <c r="F165" s="13"/>
      <c r="G165" s="49"/>
    </row>
    <row r="166" spans="1:7" s="33" customFormat="1" ht="13.8" customHeight="1">
      <c r="A166" s="16"/>
      <c r="B166" s="17"/>
      <c r="C166" s="17"/>
      <c r="D166" s="14"/>
      <c r="E166" s="62"/>
      <c r="F166" s="17"/>
      <c r="G166" s="50"/>
    </row>
    <row r="167" spans="1:7" s="33" customFormat="1" ht="15.6" customHeight="1">
      <c r="A167" s="16"/>
      <c r="B167" s="15" t="s">
        <v>49</v>
      </c>
      <c r="C167" s="2"/>
      <c r="D167" s="12"/>
      <c r="E167" s="129">
        <f>SUM(E10:E151)</f>
        <v>266987187.31999999</v>
      </c>
      <c r="F167" s="2"/>
      <c r="G167" s="51"/>
    </row>
  </sheetData>
  <mergeCells count="2">
    <mergeCell ref="A3:G3"/>
    <mergeCell ref="A5:G5"/>
  </mergeCells>
  <pageMargins left="1.102362204724409" right="1.102362204724409" top="0.74803149606299213" bottom="0.74803149606299213" header="0.31496062992125978" footer="0.31496062992125978"/>
  <pageSetup scale="75" orientation="portrait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unpaid invoices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RITAH</dc:creator>
  <cp:lastModifiedBy>ADMIN</cp:lastModifiedBy>
  <cp:lastPrinted>2026-05-27T12:48:02Z</cp:lastPrinted>
  <dcterms:created xsi:type="dcterms:W3CDTF">2013-09-16T13:14:09Z</dcterms:created>
  <dcterms:modified xsi:type="dcterms:W3CDTF">2026-06-29T12:38:48Z</dcterms:modified>
</cp:coreProperties>
</file>